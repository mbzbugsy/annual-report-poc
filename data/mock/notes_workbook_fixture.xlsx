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3.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comments4.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omegapointcloud.sharepoint.com/sites/Redovisningsgruppen/Shared Documents/Gemensamma filer/01 Koncernekonomi/Omegapoint - Accountor/Bolagen till Accountor_Aspia 2025/12 OP Malmö/Ny mapp/"/>
    </mc:Choice>
  </mc:AlternateContent>
  <xr:revisionPtr revIDLastSave="3766" documentId="8_{B6621B50-9D89-4FE5-8D36-E962E757BA9F}" xr6:coauthVersionLast="47" xr6:coauthVersionMax="47" xr10:uidLastSave="{DAC73F3E-4621-4F69-A4C4-230E12C2828B}"/>
  <bookViews>
    <workbookView xWindow="-108" yWindow="-108" windowWidth="41496" windowHeight="16776" tabRatio="852" activeTab="2" xr2:uid="{1D63DE0D-132C-44D3-92E0-89955E242A66}"/>
  </bookViews>
  <sheets>
    <sheet name="Start" sheetId="1" r:id="rId1"/>
    <sheet name="Notpaket &gt;" sheetId="4" r:id="rId2"/>
    <sheet name="Nettoomsättning per rörelsegren" sheetId="26" r:id="rId3"/>
    <sheet name="Revisionsarvode" sheetId="7" r:id="rId4"/>
    <sheet name="Skatt" sheetId="10" r:id="rId5"/>
    <sheet name="Lön" sheetId="5" r:id="rId6"/>
    <sheet name="Operationell leasing del 2" sheetId="29" r:id="rId7"/>
    <sheet name="Operationell leasing del 1" sheetId="8" r:id="rId8"/>
    <sheet name="Resultatandel" sheetId="45" r:id="rId9"/>
    <sheet name="FKUI" sheetId="13" r:id="rId10"/>
    <sheet name="UKFI" sheetId="23" r:id="rId11"/>
    <sheet name="Övriga kf fordringar" sheetId="24" r:id="rId12"/>
    <sheet name="Upparbetat men ej fakturerat" sheetId="48" r:id="rId13"/>
    <sheet name="Fastprisuppdrag" sheetId="43" r:id="rId14"/>
    <sheet name="Likvida medel" sheetId="30" r:id="rId15"/>
    <sheet name="Imm. anläggningstillgångar" sheetId="18" r:id="rId16"/>
    <sheet name="Materiella anläggningstillgånga" sheetId="17" r:id="rId17"/>
    <sheet name="Andelar i intressebolag" sheetId="40" r:id="rId18"/>
    <sheet name="Andelar i koncernbolag" sheetId="49" r:id="rId19"/>
    <sheet name="Långfristiga värdepappersinneha" sheetId="31" r:id="rId20"/>
    <sheet name="Kortfristiga placeringar" sheetId="41" r:id="rId21"/>
    <sheet name="Långfristiga fordringar" sheetId="32" r:id="rId22"/>
    <sheet name="Långfristiga skulder" sheetId="37" r:id="rId23"/>
    <sheet name="Skulder till kreditinstut" sheetId="33" r:id="rId24"/>
    <sheet name="Ställda säkerheter och eventual" sheetId="20" r:id="rId25"/>
  </sheets>
  <externalReferences>
    <externalReference r:id="rId2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6" l="1"/>
  <c r="I30" i="8" l="1"/>
  <c r="V30" i="8" s="1"/>
  <c r="I31" i="8"/>
  <c r="V31" i="8" s="1"/>
  <c r="X31" i="8" s="1"/>
  <c r="O28" i="8"/>
  <c r="O27" i="8"/>
  <c r="O26" i="8"/>
  <c r="O25" i="8"/>
  <c r="O24" i="8"/>
  <c r="O23" i="8"/>
  <c r="O22" i="8"/>
  <c r="O21" i="8"/>
  <c r="O20" i="8"/>
  <c r="I29" i="8"/>
  <c r="I20" i="8"/>
  <c r="I21" i="8"/>
  <c r="I22" i="8"/>
  <c r="I23" i="8"/>
  <c r="I24" i="8"/>
  <c r="I25" i="8"/>
  <c r="I26" i="8"/>
  <c r="I27" i="8"/>
  <c r="I28" i="8"/>
  <c r="I32" i="8"/>
  <c r="I33" i="8"/>
  <c r="W30" i="8" l="1"/>
  <c r="X30" i="8"/>
  <c r="W31" i="8"/>
  <c r="D25" i="31" l="1"/>
  <c r="N52" i="10" l="1"/>
  <c r="C13" i="43" l="1"/>
  <c r="A33" i="43"/>
  <c r="D65" i="10" l="1"/>
  <c r="D52" i="10"/>
  <c r="D49" i="10"/>
  <c r="D1" i="10"/>
  <c r="D7" i="10" l="1"/>
  <c r="C22" i="10" l="1"/>
  <c r="D10" i="10" l="1"/>
  <c r="N57" i="10"/>
  <c r="N55" i="10"/>
  <c r="L35" i="10"/>
  <c r="L34" i="10"/>
  <c r="H35" i="10"/>
  <c r="H34" i="10"/>
  <c r="D13" i="10"/>
  <c r="D14" i="10" l="1"/>
  <c r="C31" i="26" l="1"/>
  <c r="F13" i="48" l="1"/>
  <c r="F14" i="24"/>
  <c r="D34" i="49" l="1"/>
  <c r="D37" i="49"/>
  <c r="M12" i="49"/>
  <c r="F12" i="49"/>
  <c r="D6" i="49" s="1"/>
  <c r="D12" i="49" s="1"/>
  <c r="C13" i="48"/>
  <c r="M13" i="49" l="1"/>
  <c r="F17" i="48"/>
  <c r="C17" i="48"/>
  <c r="F4" i="48"/>
  <c r="C4" i="48"/>
  <c r="B32" i="7" l="1"/>
  <c r="B33" i="7"/>
  <c r="B34" i="7"/>
  <c r="D13" i="7"/>
  <c r="B13" i="7"/>
  <c r="D32" i="7"/>
  <c r="E31" i="26"/>
  <c r="A31" i="7" l="1"/>
  <c r="A23" i="7"/>
  <c r="A16" i="7"/>
  <c r="L38" i="10" l="1"/>
  <c r="L24" i="10"/>
  <c r="L25" i="10" s="1"/>
  <c r="N62" i="10" l="1"/>
  <c r="N47" i="10"/>
  <c r="L39" i="10" l="1"/>
  <c r="L28" i="10"/>
  <c r="L32" i="10"/>
  <c r="D42" i="17" l="1"/>
  <c r="D43" i="17" s="1"/>
  <c r="D36" i="17"/>
  <c r="D26" i="17"/>
  <c r="E11" i="17"/>
  <c r="E12" i="17"/>
  <c r="E13" i="17"/>
  <c r="E14" i="17"/>
  <c r="E15" i="17"/>
  <c r="E16" i="17"/>
  <c r="E20" i="17"/>
  <c r="E21" i="17"/>
  <c r="E22" i="17"/>
  <c r="E23" i="17"/>
  <c r="E24" i="17"/>
  <c r="E25" i="17"/>
  <c r="E30" i="17"/>
  <c r="E31" i="17"/>
  <c r="E32" i="17"/>
  <c r="E33" i="17"/>
  <c r="E34" i="17"/>
  <c r="E35" i="17"/>
  <c r="E41" i="17"/>
  <c r="F46" i="13"/>
  <c r="D38" i="17" l="1"/>
  <c r="C42" i="17"/>
  <c r="E14" i="26" l="1"/>
  <c r="C4" i="45"/>
  <c r="E4" i="45" s="1"/>
  <c r="E32" i="33"/>
  <c r="C32" i="33"/>
  <c r="E11" i="18" l="1"/>
  <c r="E33" i="41"/>
  <c r="D33" i="41"/>
  <c r="C40" i="31"/>
  <c r="C8" i="31" s="1"/>
  <c r="D32" i="40"/>
  <c r="E23" i="43"/>
  <c r="E15" i="43"/>
  <c r="E25" i="45"/>
  <c r="E13" i="45"/>
  <c r="J3" i="1" l="1"/>
  <c r="I3" i="1"/>
  <c r="E6" i="45" s="1"/>
  <c r="E17" i="45" s="1"/>
  <c r="H3" i="1"/>
  <c r="O57" i="10" l="1"/>
  <c r="N59" i="10"/>
  <c r="M59" i="10" s="1"/>
  <c r="L37" i="10"/>
  <c r="N58" i="10"/>
  <c r="M58" i="10" s="1"/>
  <c r="N61" i="10"/>
  <c r="L33" i="10"/>
  <c r="M54" i="10"/>
  <c r="N54" i="10" s="1"/>
  <c r="N56" i="10"/>
  <c r="M56" i="10" s="1"/>
  <c r="L36" i="10"/>
  <c r="N60" i="10"/>
  <c r="C6" i="45"/>
  <c r="D31" i="7"/>
  <c r="B31" i="7"/>
  <c r="E34" i="26"/>
  <c r="N63" i="10" l="1"/>
  <c r="B35" i="7"/>
  <c r="L26" i="10"/>
  <c r="C14" i="26"/>
  <c r="C34" i="26" s="1"/>
  <c r="V21" i="8" l="1"/>
  <c r="V22" i="8"/>
  <c r="V23" i="8"/>
  <c r="V24" i="8"/>
  <c r="V25" i="8"/>
  <c r="V26" i="8"/>
  <c r="V27" i="8"/>
  <c r="V28" i="8"/>
  <c r="V29" i="8"/>
  <c r="V32" i="8"/>
  <c r="V33" i="8"/>
  <c r="I34" i="8"/>
  <c r="V34" i="8" s="1"/>
  <c r="I35" i="8"/>
  <c r="V35" i="8" s="1"/>
  <c r="I36" i="8"/>
  <c r="V36" i="8" s="1"/>
  <c r="I37" i="8"/>
  <c r="V37" i="8" s="1"/>
  <c r="I38" i="8"/>
  <c r="V38" i="8" s="1"/>
  <c r="I39" i="8"/>
  <c r="V39" i="8" s="1"/>
  <c r="I40" i="8"/>
  <c r="V40" i="8" s="1"/>
  <c r="I41" i="8"/>
  <c r="V41" i="8" s="1"/>
  <c r="I42" i="8"/>
  <c r="V42" i="8" s="1"/>
  <c r="I43" i="8"/>
  <c r="V43" i="8" s="1"/>
  <c r="I44" i="8"/>
  <c r="V44" i="8" s="1"/>
  <c r="I45" i="8"/>
  <c r="V45" i="8" s="1"/>
  <c r="I46" i="8"/>
  <c r="V46" i="8" s="1"/>
  <c r="I47" i="8"/>
  <c r="V47" i="8" s="1"/>
  <c r="I48" i="8"/>
  <c r="V48" i="8" s="1"/>
  <c r="I49" i="8"/>
  <c r="V49" i="8" s="1"/>
  <c r="I50" i="8"/>
  <c r="V50" i="8" s="1"/>
  <c r="I51" i="8"/>
  <c r="V51" i="8" s="1"/>
  <c r="I52" i="8"/>
  <c r="V52" i="8" s="1"/>
  <c r="I53" i="8"/>
  <c r="V53" i="8" s="1"/>
  <c r="I54" i="8"/>
  <c r="V54" i="8" s="1"/>
  <c r="I55" i="8"/>
  <c r="V55" i="8" s="1"/>
  <c r="I56" i="8"/>
  <c r="V56" i="8" s="1"/>
  <c r="I57" i="8"/>
  <c r="V57" i="8" s="1"/>
  <c r="I58" i="8"/>
  <c r="V58" i="8" s="1"/>
  <c r="I59" i="8"/>
  <c r="V59" i="8" s="1"/>
  <c r="I60" i="8"/>
  <c r="V60" i="8" s="1"/>
  <c r="I61" i="8"/>
  <c r="V61" i="8" s="1"/>
  <c r="I62" i="8"/>
  <c r="V62" i="8" s="1"/>
  <c r="I63" i="8"/>
  <c r="V63" i="8" s="1"/>
  <c r="I64" i="8"/>
  <c r="V64" i="8" s="1"/>
  <c r="I65" i="8"/>
  <c r="V65" i="8" s="1"/>
  <c r="I66" i="8"/>
  <c r="V66" i="8" s="1"/>
  <c r="I67" i="8"/>
  <c r="V67" i="8" s="1"/>
  <c r="I68" i="8"/>
  <c r="V68" i="8" s="1"/>
  <c r="I69" i="8"/>
  <c r="V69" i="8" s="1"/>
  <c r="I70" i="8"/>
  <c r="V70" i="8" s="1"/>
  <c r="I71" i="8"/>
  <c r="V71" i="8" s="1"/>
  <c r="I72" i="8"/>
  <c r="V72" i="8" s="1"/>
  <c r="I73" i="8"/>
  <c r="V73" i="8" s="1"/>
  <c r="I74" i="8"/>
  <c r="V74" i="8" s="1"/>
  <c r="I75" i="8"/>
  <c r="V75" i="8" s="1"/>
  <c r="I76" i="8"/>
  <c r="V76" i="8" s="1"/>
  <c r="I77" i="8"/>
  <c r="V77" i="8" s="1"/>
  <c r="I78" i="8"/>
  <c r="V78" i="8" s="1"/>
  <c r="I79" i="8"/>
  <c r="V79" i="8" s="1"/>
  <c r="I80" i="8"/>
  <c r="V80" i="8" s="1"/>
  <c r="I81" i="8"/>
  <c r="V81" i="8" s="1"/>
  <c r="I82" i="8"/>
  <c r="V82" i="8" s="1"/>
  <c r="I83" i="8"/>
  <c r="V83" i="8" s="1"/>
  <c r="I84" i="8"/>
  <c r="V84" i="8" s="1"/>
  <c r="I85" i="8"/>
  <c r="V85" i="8" s="1"/>
  <c r="I86" i="8"/>
  <c r="V86" i="8" s="1"/>
  <c r="I87" i="8"/>
  <c r="V87" i="8" s="1"/>
  <c r="I88" i="8"/>
  <c r="V88" i="8" s="1"/>
  <c r="I89" i="8"/>
  <c r="V89" i="8" s="1"/>
  <c r="I90" i="8"/>
  <c r="V90" i="8" s="1"/>
  <c r="I91" i="8"/>
  <c r="V91" i="8" s="1"/>
  <c r="I92" i="8"/>
  <c r="V92" i="8" s="1"/>
  <c r="I93" i="8"/>
  <c r="V93" i="8" s="1"/>
  <c r="I94" i="8"/>
  <c r="V94" i="8" s="1"/>
  <c r="I95" i="8"/>
  <c r="V95" i="8" s="1"/>
  <c r="I96" i="8"/>
  <c r="V96" i="8" s="1"/>
  <c r="I97" i="8"/>
  <c r="V97" i="8" s="1"/>
  <c r="I98" i="8"/>
  <c r="V98" i="8" s="1"/>
  <c r="I99" i="8"/>
  <c r="V99" i="8" s="1"/>
  <c r="I100" i="8"/>
  <c r="V100" i="8" s="1"/>
  <c r="I101" i="8"/>
  <c r="V101" i="8" s="1"/>
  <c r="I102" i="8"/>
  <c r="V102" i="8" s="1"/>
  <c r="I103" i="8"/>
  <c r="V103" i="8" s="1"/>
  <c r="I104" i="8"/>
  <c r="V104" i="8" s="1"/>
  <c r="I105" i="8"/>
  <c r="V105" i="8" s="1"/>
  <c r="I106" i="8"/>
  <c r="V106" i="8" s="1"/>
  <c r="I107" i="8"/>
  <c r="V107" i="8" s="1"/>
  <c r="I108" i="8"/>
  <c r="V108" i="8" s="1"/>
  <c r="I109" i="8"/>
  <c r="V109" i="8" s="1"/>
  <c r="I110" i="8"/>
  <c r="V110" i="8" s="1"/>
  <c r="I111" i="8"/>
  <c r="V111" i="8" s="1"/>
  <c r="I112" i="8"/>
  <c r="V112" i="8" s="1"/>
  <c r="I113" i="8"/>
  <c r="V113" i="8" s="1"/>
  <c r="I114" i="8"/>
  <c r="V114" i="8" s="1"/>
  <c r="I115" i="8"/>
  <c r="V115" i="8" s="1"/>
  <c r="I116" i="8"/>
  <c r="V116" i="8" s="1"/>
  <c r="I117" i="8"/>
  <c r="V117" i="8" s="1"/>
  <c r="I118" i="8"/>
  <c r="V118" i="8" s="1"/>
  <c r="I119" i="8"/>
  <c r="V119" i="8" s="1"/>
  <c r="I120" i="8"/>
  <c r="V120" i="8" s="1"/>
  <c r="I121" i="8"/>
  <c r="V121" i="8" s="1"/>
  <c r="I122" i="8"/>
  <c r="V122" i="8" s="1"/>
  <c r="I123" i="8"/>
  <c r="V123" i="8" s="1"/>
  <c r="I124" i="8"/>
  <c r="V124" i="8" s="1"/>
  <c r="I125" i="8"/>
  <c r="V125" i="8" s="1"/>
  <c r="I126" i="8"/>
  <c r="V126" i="8" s="1"/>
  <c r="I127" i="8"/>
  <c r="V127" i="8" s="1"/>
  <c r="I128" i="8"/>
  <c r="V128" i="8" s="1"/>
  <c r="I129" i="8"/>
  <c r="V129" i="8" s="1"/>
  <c r="I130" i="8"/>
  <c r="V130" i="8" s="1"/>
  <c r="I131" i="8"/>
  <c r="V131" i="8" s="1"/>
  <c r="I132" i="8"/>
  <c r="V132" i="8" s="1"/>
  <c r="I133" i="8"/>
  <c r="V133" i="8" s="1"/>
  <c r="I134" i="8"/>
  <c r="V134" i="8" s="1"/>
  <c r="I135" i="8"/>
  <c r="V135" i="8" s="1"/>
  <c r="I136" i="8"/>
  <c r="V136" i="8" s="1"/>
  <c r="I137" i="8"/>
  <c r="V137" i="8" s="1"/>
  <c r="I138" i="8"/>
  <c r="V138" i="8" s="1"/>
  <c r="I139" i="8"/>
  <c r="V139" i="8" s="1"/>
  <c r="I140" i="8"/>
  <c r="V140" i="8" s="1"/>
  <c r="I141" i="8"/>
  <c r="V141" i="8" s="1"/>
  <c r="I142" i="8"/>
  <c r="V142" i="8" s="1"/>
  <c r="I143" i="8"/>
  <c r="V143" i="8" s="1"/>
  <c r="I144" i="8"/>
  <c r="V144" i="8" s="1"/>
  <c r="I145" i="8"/>
  <c r="V145" i="8" s="1"/>
  <c r="I146" i="8"/>
  <c r="V146" i="8" s="1"/>
  <c r="I147" i="8"/>
  <c r="V147" i="8" s="1"/>
  <c r="I148" i="8"/>
  <c r="V148" i="8" s="1"/>
  <c r="I149" i="8"/>
  <c r="V149" i="8" s="1"/>
  <c r="I150" i="8"/>
  <c r="V150" i="8" s="1"/>
  <c r="I151" i="8"/>
  <c r="V151" i="8" s="1"/>
  <c r="I152" i="8"/>
  <c r="V152" i="8" s="1"/>
  <c r="I153" i="8"/>
  <c r="V153" i="8" s="1"/>
  <c r="I154" i="8"/>
  <c r="V154" i="8" s="1"/>
  <c r="I155" i="8"/>
  <c r="V155" i="8" s="1"/>
  <c r="I156" i="8"/>
  <c r="V156" i="8" s="1"/>
  <c r="I157" i="8"/>
  <c r="V157" i="8" s="1"/>
  <c r="I158" i="8"/>
  <c r="V158" i="8" s="1"/>
  <c r="I159" i="8"/>
  <c r="V159" i="8" s="1"/>
  <c r="I160" i="8"/>
  <c r="V160" i="8" s="1"/>
  <c r="I161" i="8"/>
  <c r="V161" i="8" s="1"/>
  <c r="I162" i="8"/>
  <c r="V162" i="8" s="1"/>
  <c r="I163" i="8"/>
  <c r="V163" i="8" s="1"/>
  <c r="I164" i="8"/>
  <c r="V164" i="8" s="1"/>
  <c r="I165" i="8"/>
  <c r="V165" i="8" s="1"/>
  <c r="I166" i="8"/>
  <c r="V166" i="8" s="1"/>
  <c r="I167" i="8"/>
  <c r="V167" i="8" s="1"/>
  <c r="I168" i="8"/>
  <c r="V168" i="8" s="1"/>
  <c r="I169" i="8"/>
  <c r="V169" i="8" s="1"/>
  <c r="I170" i="8"/>
  <c r="V170" i="8" s="1"/>
  <c r="I171" i="8"/>
  <c r="V171" i="8" s="1"/>
  <c r="V20" i="8"/>
  <c r="C43" i="17"/>
  <c r="W171" i="8" l="1"/>
  <c r="X171" i="8"/>
  <c r="W115" i="8"/>
  <c r="X115" i="8"/>
  <c r="W164" i="8"/>
  <c r="X164" i="8"/>
  <c r="X156" i="8"/>
  <c r="W156" i="8"/>
  <c r="W148" i="8"/>
  <c r="X148" i="8"/>
  <c r="X140" i="8"/>
  <c r="W140" i="8"/>
  <c r="W132" i="8"/>
  <c r="X132" i="8"/>
  <c r="X124" i="8"/>
  <c r="W124" i="8"/>
  <c r="W116" i="8"/>
  <c r="X116" i="8"/>
  <c r="X108" i="8"/>
  <c r="W108" i="8"/>
  <c r="W100" i="8"/>
  <c r="X100" i="8"/>
  <c r="W92" i="8"/>
  <c r="X92" i="8"/>
  <c r="W84" i="8"/>
  <c r="X84" i="8"/>
  <c r="X76" i="8"/>
  <c r="W76" i="8"/>
  <c r="W68" i="8"/>
  <c r="X68" i="8"/>
  <c r="X60" i="8"/>
  <c r="W60" i="8"/>
  <c r="W131" i="8"/>
  <c r="X131" i="8"/>
  <c r="W75" i="8"/>
  <c r="X75" i="8"/>
  <c r="W170" i="8"/>
  <c r="X170" i="8"/>
  <c r="W146" i="8"/>
  <c r="X146" i="8"/>
  <c r="X122" i="8"/>
  <c r="W122" i="8"/>
  <c r="W114" i="8"/>
  <c r="X114" i="8"/>
  <c r="W106" i="8"/>
  <c r="X106" i="8"/>
  <c r="W98" i="8"/>
  <c r="X98" i="8"/>
  <c r="X90" i="8"/>
  <c r="W90" i="8"/>
  <c r="W82" i="8"/>
  <c r="X82" i="8"/>
  <c r="W74" i="8"/>
  <c r="X74" i="8"/>
  <c r="W66" i="8"/>
  <c r="X66" i="8"/>
  <c r="W139" i="8"/>
  <c r="X139" i="8"/>
  <c r="W99" i="8"/>
  <c r="X99" i="8"/>
  <c r="W67" i="8"/>
  <c r="X67" i="8"/>
  <c r="W162" i="8"/>
  <c r="X162" i="8"/>
  <c r="W138" i="8"/>
  <c r="X138" i="8"/>
  <c r="W153" i="8"/>
  <c r="X153" i="8"/>
  <c r="W145" i="8"/>
  <c r="X145" i="8"/>
  <c r="W137" i="8"/>
  <c r="X137" i="8"/>
  <c r="W129" i="8"/>
  <c r="X129" i="8"/>
  <c r="W121" i="8"/>
  <c r="X121" i="8"/>
  <c r="W113" i="8"/>
  <c r="X113" i="8"/>
  <c r="W105" i="8"/>
  <c r="X105" i="8"/>
  <c r="W97" i="8"/>
  <c r="X97" i="8"/>
  <c r="W89" i="8"/>
  <c r="X89" i="8"/>
  <c r="W81" i="8"/>
  <c r="X81" i="8"/>
  <c r="W73" i="8"/>
  <c r="X73" i="8"/>
  <c r="W65" i="8"/>
  <c r="X65" i="8"/>
  <c r="W147" i="8"/>
  <c r="X147" i="8"/>
  <c r="W91" i="8"/>
  <c r="X91" i="8"/>
  <c r="X168" i="8"/>
  <c r="W168" i="8"/>
  <c r="X160" i="8"/>
  <c r="W160" i="8"/>
  <c r="X152" i="8"/>
  <c r="W152" i="8"/>
  <c r="X144" i="8"/>
  <c r="W144" i="8"/>
  <c r="X136" i="8"/>
  <c r="W136" i="8"/>
  <c r="X128" i="8"/>
  <c r="W128" i="8"/>
  <c r="X120" i="8"/>
  <c r="W120" i="8"/>
  <c r="X112" i="8"/>
  <c r="W112" i="8"/>
  <c r="X104" i="8"/>
  <c r="W104" i="8"/>
  <c r="X96" i="8"/>
  <c r="W96" i="8"/>
  <c r="X88" i="8"/>
  <c r="W88" i="8"/>
  <c r="X80" i="8"/>
  <c r="W80" i="8"/>
  <c r="X72" i="8"/>
  <c r="W72" i="8"/>
  <c r="X64" i="8"/>
  <c r="W64" i="8"/>
  <c r="W155" i="8"/>
  <c r="X155" i="8"/>
  <c r="W107" i="8"/>
  <c r="X107" i="8"/>
  <c r="X154" i="8"/>
  <c r="W154" i="8"/>
  <c r="W169" i="8"/>
  <c r="X169" i="8"/>
  <c r="W167" i="8"/>
  <c r="X167" i="8"/>
  <c r="W159" i="8"/>
  <c r="X159" i="8"/>
  <c r="W151" i="8"/>
  <c r="X151" i="8"/>
  <c r="X143" i="8"/>
  <c r="W143" i="8"/>
  <c r="W135" i="8"/>
  <c r="X135" i="8"/>
  <c r="W127" i="8"/>
  <c r="X127" i="8"/>
  <c r="W119" i="8"/>
  <c r="X119" i="8"/>
  <c r="X111" i="8"/>
  <c r="W111" i="8"/>
  <c r="W103" i="8"/>
  <c r="X103" i="8"/>
  <c r="W95" i="8"/>
  <c r="X95" i="8"/>
  <c r="W87" i="8"/>
  <c r="X87" i="8"/>
  <c r="X79" i="8"/>
  <c r="W79" i="8"/>
  <c r="W71" i="8"/>
  <c r="X71" i="8"/>
  <c r="W63" i="8"/>
  <c r="X63" i="8"/>
  <c r="W163" i="8"/>
  <c r="X163" i="8"/>
  <c r="W83" i="8"/>
  <c r="X83" i="8"/>
  <c r="W130" i="8"/>
  <c r="X130" i="8"/>
  <c r="X166" i="8"/>
  <c r="W166" i="8"/>
  <c r="X158" i="8"/>
  <c r="W158" i="8"/>
  <c r="X150" i="8"/>
  <c r="W150" i="8"/>
  <c r="X142" i="8"/>
  <c r="W142" i="8"/>
  <c r="X134" i="8"/>
  <c r="W134" i="8"/>
  <c r="X126" i="8"/>
  <c r="W126" i="8"/>
  <c r="X118" i="8"/>
  <c r="W118" i="8"/>
  <c r="X110" i="8"/>
  <c r="W110" i="8"/>
  <c r="X102" i="8"/>
  <c r="W102" i="8"/>
  <c r="X94" i="8"/>
  <c r="W94" i="8"/>
  <c r="X86" i="8"/>
  <c r="W86" i="8"/>
  <c r="X78" i="8"/>
  <c r="W78" i="8"/>
  <c r="X70" i="8"/>
  <c r="W70" i="8"/>
  <c r="X62" i="8"/>
  <c r="W62" i="8"/>
  <c r="W123" i="8"/>
  <c r="X123" i="8"/>
  <c r="W161" i="8"/>
  <c r="X161" i="8"/>
  <c r="W165" i="8"/>
  <c r="X165" i="8"/>
  <c r="W157" i="8"/>
  <c r="X157" i="8"/>
  <c r="X149" i="8"/>
  <c r="W149" i="8"/>
  <c r="W141" i="8"/>
  <c r="X141" i="8"/>
  <c r="W133" i="8"/>
  <c r="X133" i="8"/>
  <c r="X125" i="8"/>
  <c r="W125" i="8"/>
  <c r="X117" i="8"/>
  <c r="W117" i="8"/>
  <c r="W109" i="8"/>
  <c r="X109" i="8"/>
  <c r="W101" i="8"/>
  <c r="X101" i="8"/>
  <c r="W93" i="8"/>
  <c r="X93" i="8"/>
  <c r="X85" i="8"/>
  <c r="W85" i="8"/>
  <c r="W77" i="8"/>
  <c r="X77" i="8"/>
  <c r="W69" i="8"/>
  <c r="X69" i="8"/>
  <c r="W61" i="8"/>
  <c r="X61" i="8"/>
  <c r="W59" i="8"/>
  <c r="X59" i="8"/>
  <c r="X58" i="8"/>
  <c r="W58" i="8"/>
  <c r="W57" i="8"/>
  <c r="X57" i="8"/>
  <c r="W55" i="8"/>
  <c r="X55" i="8"/>
  <c r="X56" i="8"/>
  <c r="W56" i="8"/>
  <c r="X20" i="8"/>
  <c r="W20" i="8"/>
  <c r="W52" i="8"/>
  <c r="X52" i="8"/>
  <c r="X44" i="8"/>
  <c r="W44" i="8"/>
  <c r="W36" i="8"/>
  <c r="X36" i="8"/>
  <c r="W28" i="8"/>
  <c r="X28" i="8"/>
  <c r="W51" i="8"/>
  <c r="X51" i="8"/>
  <c r="W43" i="8"/>
  <c r="X43" i="8"/>
  <c r="W35" i="8"/>
  <c r="X35" i="8"/>
  <c r="W27" i="8"/>
  <c r="X27" i="8"/>
  <c r="W50" i="8"/>
  <c r="X50" i="8"/>
  <c r="W42" i="8"/>
  <c r="X42" i="8"/>
  <c r="W34" i="8"/>
  <c r="X34" i="8"/>
  <c r="X26" i="8"/>
  <c r="W26" i="8"/>
  <c r="W49" i="8"/>
  <c r="X49" i="8"/>
  <c r="W41" i="8"/>
  <c r="X41" i="8"/>
  <c r="W33" i="8"/>
  <c r="X33" i="8"/>
  <c r="W25" i="8"/>
  <c r="X25" i="8"/>
  <c r="X48" i="8"/>
  <c r="W48" i="8"/>
  <c r="X40" i="8"/>
  <c r="W40" i="8"/>
  <c r="X32" i="8"/>
  <c r="W32" i="8"/>
  <c r="X24" i="8"/>
  <c r="W24" i="8"/>
  <c r="X47" i="8"/>
  <c r="W47" i="8"/>
  <c r="W39" i="8"/>
  <c r="X39" i="8"/>
  <c r="W23" i="8"/>
  <c r="X23" i="8"/>
  <c r="X46" i="8"/>
  <c r="W46" i="8"/>
  <c r="X38" i="8"/>
  <c r="W38" i="8"/>
  <c r="X22" i="8"/>
  <c r="W22" i="8"/>
  <c r="X54" i="8"/>
  <c r="W54" i="8"/>
  <c r="X53" i="8"/>
  <c r="W53" i="8"/>
  <c r="X45" i="8"/>
  <c r="W45" i="8"/>
  <c r="W37" i="8"/>
  <c r="X37" i="8"/>
  <c r="W29" i="8"/>
  <c r="X29" i="8"/>
  <c r="W21" i="8"/>
  <c r="X21" i="8"/>
  <c r="N46" i="10"/>
  <c r="N48" i="10" s="1"/>
  <c r="N64" i="10" s="1"/>
  <c r="L29" i="10" l="1"/>
  <c r="L30" i="10" s="1"/>
  <c r="L40" i="10" s="1"/>
  <c r="N65" i="10"/>
  <c r="H14" i="20"/>
  <c r="C13" i="45"/>
  <c r="J23" i="20"/>
  <c r="J14" i="20"/>
  <c r="H23" i="20"/>
  <c r="D12" i="40"/>
  <c r="C25" i="45"/>
  <c r="B27" i="7"/>
  <c r="B20" i="7"/>
  <c r="C16" i="31"/>
  <c r="I12" i="17"/>
  <c r="H12" i="17"/>
  <c r="B17" i="17"/>
  <c r="E41" i="18"/>
  <c r="B42" i="18"/>
  <c r="B43" i="18" s="1"/>
  <c r="B26" i="18"/>
  <c r="B36" i="18"/>
  <c r="E35" i="18"/>
  <c r="E25" i="18"/>
  <c r="E13" i="18"/>
  <c r="E16" i="18"/>
  <c r="B17" i="18"/>
  <c r="E12" i="30"/>
  <c r="C12" i="30"/>
  <c r="E15" i="18"/>
  <c r="E14" i="18"/>
  <c r="C14" i="33"/>
  <c r="E14" i="33"/>
  <c r="E9" i="33"/>
  <c r="C9" i="33"/>
  <c r="E27" i="33"/>
  <c r="E34" i="33" s="1"/>
  <c r="C27" i="33"/>
  <c r="C34" i="33" s="1"/>
  <c r="C23" i="43"/>
  <c r="C15" i="43"/>
  <c r="A34" i="43" s="1"/>
  <c r="A35" i="43" s="1"/>
  <c r="C1" i="43"/>
  <c r="E1" i="43" s="1"/>
  <c r="I12" i="18"/>
  <c r="C19" i="13"/>
  <c r="C36" i="18"/>
  <c r="D36" i="18"/>
  <c r="C26" i="18"/>
  <c r="D26" i="18"/>
  <c r="C17" i="18"/>
  <c r="D17" i="18"/>
  <c r="C17" i="17"/>
  <c r="C26" i="17"/>
  <c r="B26" i="17"/>
  <c r="C36" i="17"/>
  <c r="B36" i="17"/>
  <c r="E12" i="41"/>
  <c r="D12" i="41"/>
  <c r="D1" i="41"/>
  <c r="D1" i="40"/>
  <c r="C14" i="24"/>
  <c r="C17" i="23"/>
  <c r="D34" i="7"/>
  <c r="D33" i="7"/>
  <c r="D27" i="7"/>
  <c r="D20" i="7"/>
  <c r="E12" i="37"/>
  <c r="C8" i="37" s="1"/>
  <c r="C12" i="37" s="1"/>
  <c r="C1" i="37"/>
  <c r="E1" i="37" s="1"/>
  <c r="C22" i="33"/>
  <c r="E22" i="33"/>
  <c r="C1" i="33"/>
  <c r="E1" i="33" s="1"/>
  <c r="E12" i="32"/>
  <c r="C8" i="32" s="1"/>
  <c r="C12" i="32" s="1"/>
  <c r="C1" i="32"/>
  <c r="E1" i="32" s="1"/>
  <c r="C1" i="31"/>
  <c r="K8" i="18"/>
  <c r="K12" i="18"/>
  <c r="J12" i="18"/>
  <c r="J8" i="18"/>
  <c r="I8" i="18"/>
  <c r="B42" i="17"/>
  <c r="E42" i="17" s="1"/>
  <c r="I8" i="17"/>
  <c r="H8" i="17"/>
  <c r="C38" i="17" l="1"/>
  <c r="B18" i="13"/>
  <c r="C48" i="13" s="1"/>
  <c r="M55" i="10"/>
  <c r="E13" i="24"/>
  <c r="B13" i="24"/>
  <c r="C44" i="24" s="1"/>
  <c r="B16" i="23"/>
  <c r="C46" i="23" s="1"/>
  <c r="D35" i="7"/>
  <c r="M61" i="10"/>
  <c r="B38" i="18"/>
  <c r="M62" i="10"/>
  <c r="C1" i="30"/>
  <c r="E1" i="30" s="1"/>
  <c r="C42" i="18"/>
  <c r="C43" i="18" s="1"/>
  <c r="D42" i="18"/>
  <c r="D43" i="18" s="1"/>
  <c r="E12" i="18"/>
  <c r="E34" i="18"/>
  <c r="E33" i="18"/>
  <c r="E32" i="18"/>
  <c r="E31" i="18"/>
  <c r="E30" i="18"/>
  <c r="E24" i="18"/>
  <c r="E23" i="18"/>
  <c r="E22" i="18"/>
  <c r="E21" i="18"/>
  <c r="E20" i="18"/>
  <c r="B1" i="18"/>
  <c r="B1" i="17"/>
  <c r="B43" i="17"/>
  <c r="E43" i="17" s="1"/>
  <c r="B38" i="17"/>
  <c r="H1" i="20"/>
  <c r="J1" i="20" s="1"/>
  <c r="A1" i="8"/>
  <c r="B1" i="29"/>
  <c r="C1" i="26"/>
  <c r="E1" i="26" s="1"/>
  <c r="E7" i="26" l="1"/>
  <c r="C38" i="18"/>
  <c r="D38" i="18"/>
  <c r="D5" i="7"/>
  <c r="B12" i="29"/>
  <c r="B14" i="29" l="1"/>
  <c r="B13" i="29"/>
  <c r="B15" i="29" l="1"/>
  <c r="F3" i="1" l="1"/>
  <c r="B1" i="7"/>
  <c r="F4" i="24"/>
  <c r="C4" i="24"/>
  <c r="F4" i="23"/>
  <c r="C4" i="23"/>
  <c r="C44" i="23"/>
  <c r="F4" i="13"/>
  <c r="C4" i="13"/>
  <c r="G3" i="1"/>
  <c r="D3" i="49" s="1"/>
  <c r="D24" i="49" s="1"/>
  <c r="C46" i="13"/>
  <c r="C23" i="13"/>
  <c r="F7" i="48" l="1"/>
  <c r="F3" i="49"/>
  <c r="F24" i="49" s="1"/>
  <c r="C1" i="8"/>
  <c r="C7" i="48"/>
  <c r="D25" i="40"/>
  <c r="D34" i="40" s="1"/>
  <c r="E7" i="43"/>
  <c r="D26" i="41"/>
  <c r="D37" i="41" s="1"/>
  <c r="C29" i="31"/>
  <c r="C7" i="43"/>
  <c r="C17" i="45"/>
  <c r="E5" i="37"/>
  <c r="C5" i="37"/>
  <c r="D5" i="41"/>
  <c r="D16" i="41" s="1"/>
  <c r="D5" i="40"/>
  <c r="D14" i="40" s="1"/>
  <c r="E5" i="32"/>
  <c r="E5" i="33"/>
  <c r="C5" i="32"/>
  <c r="C5" i="33"/>
  <c r="E5" i="30"/>
  <c r="C5" i="30"/>
  <c r="C5" i="31"/>
  <c r="L44" i="10"/>
  <c r="C7" i="13"/>
  <c r="B9" i="17"/>
  <c r="E9" i="17" s="1"/>
  <c r="H5" i="20"/>
  <c r="B9" i="18"/>
  <c r="D9" i="18" s="1"/>
  <c r="F7" i="23"/>
  <c r="J5" i="20"/>
  <c r="B18" i="29"/>
  <c r="B7" i="29"/>
  <c r="D1" i="7"/>
  <c r="B5" i="7"/>
  <c r="C7" i="26"/>
  <c r="N44" i="10"/>
  <c r="F7" i="13"/>
  <c r="C7" i="23"/>
  <c r="F7" i="24"/>
  <c r="C7" i="24"/>
  <c r="F42" i="24"/>
  <c r="F44" i="24" s="1"/>
  <c r="C42" i="24"/>
  <c r="F18" i="24"/>
  <c r="F44" i="23"/>
  <c r="F19" i="13"/>
  <c r="E18" i="13" s="1"/>
  <c r="F48" i="13" l="1"/>
  <c r="C18" i="24"/>
  <c r="F17" i="23"/>
  <c r="M60" i="10"/>
  <c r="M57" i="10"/>
  <c r="C9" i="17"/>
  <c r="D9" i="17" s="1"/>
  <c r="E9" i="18"/>
  <c r="C9" i="18"/>
  <c r="F23" i="13"/>
  <c r="C21" i="23"/>
  <c r="E16" i="23" l="1"/>
  <c r="F46" i="23" s="1"/>
  <c r="F21" i="23"/>
  <c r="O25" i="10"/>
  <c r="M63" i="10" l="1"/>
  <c r="O2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tc={68AA99E6-F004-42F1-96C4-D7C6314DC429}</author>
  </authors>
  <commentList>
    <comment ref="V12" authorId="0" shapeId="0" xr:uid="{68AA99E6-F004-42F1-96C4-D7C6314DC429}">
      <text>
        <t>[Trådad kommentar]
I din version av Excel kan du läsa den här trådade kommentaren, men eventuella ändringar i den tas bort om filen öppnas i en senare version av Excel. Läs mer: https://go.microsoft.com/fwlink/?linkid=870924
Kommentar:
    Datum som anger när intervallet ska börja beräknas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46730</author>
  </authors>
  <commentList>
    <comment ref="A13" authorId="0" shapeId="0" xr:uid="{8804E020-A2D2-4A40-88C1-F4152464997E}">
      <text>
        <r>
          <rPr>
            <b/>
            <sz val="9"/>
            <color indexed="81"/>
            <rFont val="Tahoma"/>
            <family val="2"/>
          </rPr>
          <t>Maconomy konto 1471 och 1474</t>
        </r>
        <r>
          <rPr>
            <sz val="9"/>
            <color indexed="81"/>
            <rFont val="Tahoma"/>
            <family val="2"/>
          </rPr>
          <t xml:space="preserve">
</t>
        </r>
      </text>
    </comment>
    <comment ref="A22" authorId="0" shapeId="0" xr:uid="{E81C863C-7680-455F-8D78-FE1A98549B99}">
      <text>
        <r>
          <rPr>
            <b/>
            <sz val="9"/>
            <color indexed="81"/>
            <rFont val="Tahoma"/>
            <family val="2"/>
          </rPr>
          <t>Maconomykonto 2420</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46730</author>
  </authors>
  <commentList>
    <comment ref="F16" authorId="0" shapeId="0" xr:uid="{BA3784E5-ABDF-410B-8DF1-F530BD6E162E}">
      <text>
        <r>
          <rPr>
            <sz val="9"/>
            <color indexed="81"/>
            <rFont val="Tahoma"/>
            <family val="2"/>
          </rPr>
          <t>Vad som är redovisat i balansen hos moderbolaget.</t>
        </r>
        <r>
          <rPr>
            <sz val="9"/>
            <color indexed="81"/>
            <rFont val="Tahoma"/>
            <family val="2"/>
          </rPr>
          <t xml:space="preserve">
</t>
        </r>
      </text>
    </comment>
    <comment ref="F36" authorId="0" shapeId="0" xr:uid="{3DF9B620-BDA2-4F99-8EF5-D6368D77A4D4}">
      <text>
        <r>
          <rPr>
            <sz val="9"/>
            <color indexed="81"/>
            <rFont val="Tahoma"/>
            <family val="2"/>
          </rPr>
          <t>Vad som är redovisat i balansen hos moderbolaget.</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46730</author>
  </authors>
  <commentList>
    <comment ref="E20" authorId="0" shapeId="0" xr:uid="{71215B5C-2706-47E5-9952-066F9A791665}">
      <text>
        <r>
          <rPr>
            <sz val="9"/>
            <color indexed="81"/>
            <rFont val="Tahoma"/>
            <family val="2"/>
          </rPr>
          <t>Vad som är redovisat i balansen hos moderbolaget.</t>
        </r>
        <r>
          <rPr>
            <sz val="9"/>
            <color indexed="81"/>
            <rFont val="Tahoma"/>
            <family val="2"/>
          </rPr>
          <t xml:space="preserve">
</t>
        </r>
      </text>
    </comment>
    <comment ref="E44" authorId="0" shapeId="0" xr:uid="{AE3BE787-8B58-43E5-B429-81307C351FE1}">
      <text>
        <r>
          <rPr>
            <sz val="9"/>
            <color indexed="81"/>
            <rFont val="Tahoma"/>
            <family val="2"/>
          </rPr>
          <t>Vad som är redovisat i balansen hos moderbolaget.</t>
        </r>
        <r>
          <rPr>
            <sz val="9"/>
            <color indexed="81"/>
            <rFont val="Tahoma"/>
            <family val="2"/>
          </rPr>
          <t xml:space="preserve">
</t>
        </r>
      </text>
    </comment>
  </commentList>
</comments>
</file>

<file path=xl/sharedStrings.xml><?xml version="1.0" encoding="utf-8"?>
<sst xmlns="http://schemas.openxmlformats.org/spreadsheetml/2006/main" count="1425" uniqueCount="486">
  <si>
    <t>Period</t>
  </si>
  <si>
    <t>fd Period</t>
  </si>
  <si>
    <t>Checklista:</t>
  </si>
  <si>
    <t>Nettoomsättning per rörelsegren</t>
  </si>
  <si>
    <t>(ange)</t>
  </si>
  <si>
    <t>Revisionsarvode</t>
  </si>
  <si>
    <t>Skatt</t>
  </si>
  <si>
    <t>Lön</t>
  </si>
  <si>
    <t>Operationell leasing del 1</t>
  </si>
  <si>
    <t>Operationell leasing del 2</t>
  </si>
  <si>
    <t>Övriga kortfristiga fordringar</t>
  </si>
  <si>
    <t>Immateriella anläggningstillgångar</t>
  </si>
  <si>
    <t>Materiella anläggningstillgångar</t>
  </si>
  <si>
    <t>Likvida medel</t>
  </si>
  <si>
    <t>Ställda säkerheter och eventualförpliktelser</t>
  </si>
  <si>
    <t>(Bokslutsdisp.)</t>
  </si>
  <si>
    <t>(Ange bolag)</t>
  </si>
  <si>
    <t>Koncernbidrag</t>
  </si>
  <si>
    <t>Utförd</t>
  </si>
  <si>
    <t>Ej tillämplig</t>
  </si>
  <si>
    <t>Ej utförd</t>
  </si>
  <si>
    <t>Belopp</t>
  </si>
  <si>
    <t>Konsulttjänster</t>
  </si>
  <si>
    <t>Nettoomsättning per geografisk marknad</t>
  </si>
  <si>
    <t>Sverige</t>
  </si>
  <si>
    <t>Norge</t>
  </si>
  <si>
    <t>Danmark</t>
  </si>
  <si>
    <t>Check</t>
  </si>
  <si>
    <t>(Annan byrå- ange)</t>
  </si>
  <si>
    <t xml:space="preserve">  Summa</t>
  </si>
  <si>
    <t>Aktuell bolagsskatt</t>
  </si>
  <si>
    <r>
      <t xml:space="preserve">Uppskjuten skatt </t>
    </r>
    <r>
      <rPr>
        <sz val="11"/>
        <color theme="9" tint="-0.249977111117893"/>
        <rFont val="Calibri"/>
        <family val="2"/>
        <scheme val="minor"/>
      </rPr>
      <t>(- kostnad, + intäkt)</t>
    </r>
  </si>
  <si>
    <r>
      <t xml:space="preserve">Justerad skatt fg år (Om differens mot slutskattebeskedet) </t>
    </r>
    <r>
      <rPr>
        <sz val="11"/>
        <color theme="9" tint="-0.249977111117893"/>
        <rFont val="Calibri"/>
        <family val="2"/>
        <scheme val="minor"/>
      </rPr>
      <t>(- kostnad, +intäkt)</t>
    </r>
  </si>
  <si>
    <t>Skatt på emmissionkostnader (bokförd mot eget kapital)</t>
  </si>
  <si>
    <t>Total skatt i bolagets resultat</t>
  </si>
  <si>
    <t>Avstämning effektiv skatt</t>
  </si>
  <si>
    <t>Procent</t>
  </si>
  <si>
    <t>Skatt enligt gällande skattesats för moderbolaget</t>
  </si>
  <si>
    <r>
      <t xml:space="preserve">Ej avdragsgilla kostnader </t>
    </r>
    <r>
      <rPr>
        <b/>
        <i/>
        <sz val="11"/>
        <color theme="9" tint="-0.249977111117893"/>
        <rFont val="Calibri"/>
        <family val="2"/>
        <scheme val="minor"/>
      </rPr>
      <t>(anges i +)</t>
    </r>
  </si>
  <si>
    <t>effektiv skatt</t>
  </si>
  <si>
    <t>Räntekostnad på skattekontot</t>
  </si>
  <si>
    <t>Ej avdragsgill föreningsavgift</t>
  </si>
  <si>
    <t>Bokad skatt</t>
  </si>
  <si>
    <t>Gåvor till föreningar/organisationer</t>
  </si>
  <si>
    <t>Effektiv skatt</t>
  </si>
  <si>
    <t>Ej avdragsgilla kostnader</t>
  </si>
  <si>
    <t>Återbetalning aktieägartillskott (över resultatet).</t>
  </si>
  <si>
    <t>Ej skattepliktiga intäkter</t>
  </si>
  <si>
    <t>Kapitalförsäkringar (P- försäkringar)</t>
  </si>
  <si>
    <t>Justerad skatt fg år</t>
  </si>
  <si>
    <t>diff</t>
  </si>
  <si>
    <t>Övrigt</t>
  </si>
  <si>
    <t>Emmissionskostnader (som bokats i eget kapital som överkursfond)</t>
  </si>
  <si>
    <t>Aktuell skatt</t>
  </si>
  <si>
    <t>Uppskjuten skatt</t>
  </si>
  <si>
    <r>
      <t xml:space="preserve">Ej skattepliktiga intäkter </t>
    </r>
    <r>
      <rPr>
        <b/>
        <i/>
        <sz val="11"/>
        <color theme="9" tint="-0.249977111117893"/>
        <rFont val="Calibri"/>
        <family val="2"/>
        <scheme val="minor"/>
      </rPr>
      <t>(anges i +)</t>
    </r>
  </si>
  <si>
    <t>Utdelning</t>
  </si>
  <si>
    <t>Intäktsränta skattekontot</t>
  </si>
  <si>
    <t>Resultat före skatt</t>
  </si>
  <si>
    <t>Andra icke avdragsgilla kostnader</t>
  </si>
  <si>
    <t>Avskrivning av koncernmässig goodwill</t>
  </si>
  <si>
    <t>Skatt från ej aktiverat underskott</t>
  </si>
  <si>
    <t>Schablonränta på periodiseringsfond</t>
  </si>
  <si>
    <t>Emmissionskostnader</t>
  </si>
  <si>
    <t>justering fg skatt</t>
  </si>
  <si>
    <t>Antal</t>
  </si>
  <si>
    <t>Kvinnor</t>
  </si>
  <si>
    <t>Män</t>
  </si>
  <si>
    <t>Totalt</t>
  </si>
  <si>
    <t>Redovisning av könsfördelning bland ledande befattningshavare</t>
  </si>
  <si>
    <t>Andel kvinnor i %</t>
  </si>
  <si>
    <t>Löner och andra ersättningar samt sociala kostnader, inkl pensionskostnader</t>
  </si>
  <si>
    <t>Styrelse och VD</t>
  </si>
  <si>
    <t>Övriga anställda</t>
  </si>
  <si>
    <t>Summa</t>
  </si>
  <si>
    <t>Sociala kostnader (ink pension)</t>
  </si>
  <si>
    <t>(varav pensionskostnader) 1)</t>
  </si>
  <si>
    <t>ledande befattningshavare än styrelse och VD.</t>
  </si>
  <si>
    <t>Totala personalkostnader (från RR)</t>
  </si>
  <si>
    <t>Löner och sociala kostnader (ovan)</t>
  </si>
  <si>
    <t>Övriga personalrelaterade kostnader (RR)</t>
  </si>
  <si>
    <t>Diff</t>
  </si>
  <si>
    <t>Medel månadslön</t>
  </si>
  <si>
    <t>Leasingregister</t>
  </si>
  <si>
    <t>12 mån</t>
  </si>
  <si>
    <t>Senaste fakturan</t>
  </si>
  <si>
    <t>(Tidigare)</t>
  </si>
  <si>
    <t>konto</t>
  </si>
  <si>
    <t>Kategori</t>
  </si>
  <si>
    <t>Benämning</t>
  </si>
  <si>
    <t>Kontrakt</t>
  </si>
  <si>
    <t>Startdatum</t>
  </si>
  <si>
    <t>Slutdatum</t>
  </si>
  <si>
    <t>Förlängt</t>
  </si>
  <si>
    <t>Ange status</t>
  </si>
  <si>
    <t xml:space="preserve">Datum vid </t>
  </si>
  <si>
    <t>Förare</t>
  </si>
  <si>
    <t>Reg Nr</t>
  </si>
  <si>
    <t>Restvärde</t>
  </si>
  <si>
    <t>Inköpspris/</t>
  </si>
  <si>
    <t>Leasing/hyra</t>
  </si>
  <si>
    <t>Nr</t>
  </si>
  <si>
    <t>Uppsägning</t>
  </si>
  <si>
    <t>(Bil och cykel)</t>
  </si>
  <si>
    <t>Avtalsbelopp</t>
  </si>
  <si>
    <t>Månadsbelopp</t>
  </si>
  <si>
    <t>Koncern</t>
  </si>
  <si>
    <t>Avtalade framtida minimileaseavgifter avseende icke</t>
  </si>
  <si>
    <t>uppsägningsbara kontrakt förfaller till betalning</t>
  </si>
  <si>
    <t xml:space="preserve">    Inom ett år</t>
  </si>
  <si>
    <t xml:space="preserve">    Mellan ett och fem år</t>
  </si>
  <si>
    <t xml:space="preserve">    Senare än fem år</t>
  </si>
  <si>
    <t>(Ange konton i RR)</t>
  </si>
  <si>
    <t>Räkenskapsårets kostnadsförda leasingavgifter inklusive lokalhyra</t>
  </si>
  <si>
    <t>Konton i kontoklass 17</t>
  </si>
  <si>
    <t>Lokalhyra</t>
  </si>
  <si>
    <t>Övriga poster</t>
  </si>
  <si>
    <r>
      <t xml:space="preserve">Om "övriga poster" överstiger </t>
    </r>
    <r>
      <rPr>
        <sz val="11"/>
        <color rgb="FFFF0000"/>
        <rFont val="Calibri"/>
        <family val="2"/>
        <scheme val="minor"/>
      </rPr>
      <t>10%</t>
    </r>
    <r>
      <rPr>
        <sz val="11"/>
        <color theme="1"/>
        <rFont val="Calibri"/>
        <family val="2"/>
        <scheme val="minor"/>
      </rPr>
      <t xml:space="preserve"> bryt ut och ange post för post nedan</t>
    </r>
  </si>
  <si>
    <t>Post</t>
  </si>
  <si>
    <t>Konton i kontoklass 29</t>
  </si>
  <si>
    <t>Upplupna sociala avgifter</t>
  </si>
  <si>
    <t>Förutbetalda intäkter</t>
  </si>
  <si>
    <t>Saldo konto 29xx</t>
  </si>
  <si>
    <t>Om "övriga poster" överstiger 10% bryt ut post för post nedan</t>
  </si>
  <si>
    <r>
      <t xml:space="preserve">Om "övriga poster" överstiger </t>
    </r>
    <r>
      <rPr>
        <sz val="11"/>
        <color rgb="FFFF0000"/>
        <rFont val="Calibri"/>
        <family val="2"/>
        <scheme val="minor"/>
      </rPr>
      <t>10%</t>
    </r>
    <r>
      <rPr>
        <sz val="11"/>
        <color theme="1"/>
        <rFont val="Calibri"/>
        <family val="2"/>
        <scheme val="minor"/>
      </rPr>
      <t xml:space="preserve"> bryt ut post för post nedan</t>
    </r>
  </si>
  <si>
    <t>Nettoredovisning rörelseförvärv</t>
  </si>
  <si>
    <t>Övriga immateriella tillgångar</t>
  </si>
  <si>
    <t xml:space="preserve">TOTALT
</t>
  </si>
  <si>
    <t>Investeringar</t>
  </si>
  <si>
    <r>
      <t xml:space="preserve">Ingående värde (fg ÅR UB) </t>
    </r>
    <r>
      <rPr>
        <i/>
        <sz val="12"/>
        <color rgb="FF0070C0"/>
        <rFont val="Calibri"/>
        <family val="2"/>
      </rPr>
      <t>+</t>
    </r>
  </si>
  <si>
    <r>
      <t xml:space="preserve">Rörelseförvärv </t>
    </r>
    <r>
      <rPr>
        <sz val="12"/>
        <color rgb="FF0070C0"/>
        <rFont val="Calibri"/>
        <family val="2"/>
      </rPr>
      <t>+</t>
    </r>
  </si>
  <si>
    <r>
      <t xml:space="preserve">Årets anskaffning </t>
    </r>
    <r>
      <rPr>
        <sz val="12"/>
        <color rgb="FF0070C0"/>
        <rFont val="Calibri"/>
        <family val="2"/>
      </rPr>
      <t>+</t>
    </r>
  </si>
  <si>
    <r>
      <t xml:space="preserve">Avyttring och utrangeringar </t>
    </r>
    <r>
      <rPr>
        <sz val="12"/>
        <color rgb="FF0070C0"/>
        <rFont val="Calibri"/>
        <family val="2"/>
      </rPr>
      <t>-</t>
    </r>
  </si>
  <si>
    <r>
      <t xml:space="preserve">Omklassificering </t>
    </r>
    <r>
      <rPr>
        <sz val="12"/>
        <color rgb="FF0070C0"/>
        <rFont val="Calibri"/>
        <family val="2"/>
      </rPr>
      <t>+/-</t>
    </r>
  </si>
  <si>
    <t>Utgående värde</t>
  </si>
  <si>
    <t>Avskrivningar</t>
  </si>
  <si>
    <r>
      <t xml:space="preserve">Ingående värde (fg ÅR UB) </t>
    </r>
    <r>
      <rPr>
        <sz val="12"/>
        <color rgb="FF0070C0"/>
        <rFont val="Calibri"/>
        <family val="2"/>
      </rPr>
      <t>-</t>
    </r>
  </si>
  <si>
    <r>
      <t xml:space="preserve">Rörelseförvärv </t>
    </r>
    <r>
      <rPr>
        <sz val="12"/>
        <color rgb="FF0070C0"/>
        <rFont val="Calibri"/>
        <family val="2"/>
      </rPr>
      <t>-</t>
    </r>
  </si>
  <si>
    <r>
      <t xml:space="preserve">Årets avskrivning </t>
    </r>
    <r>
      <rPr>
        <sz val="12"/>
        <color rgb="FF0070C0"/>
        <rFont val="Calibri"/>
        <family val="2"/>
      </rPr>
      <t>-</t>
    </r>
  </si>
  <si>
    <r>
      <t xml:space="preserve">Återförd avskrivningar på avyttringar och utrangeringar </t>
    </r>
    <r>
      <rPr>
        <sz val="12"/>
        <color rgb="FF0070C0"/>
        <rFont val="Calibri"/>
        <family val="2"/>
      </rPr>
      <t>+</t>
    </r>
  </si>
  <si>
    <t>Nedskrivning</t>
  </si>
  <si>
    <r>
      <t>Ingående värde (fg ÅR UB)</t>
    </r>
    <r>
      <rPr>
        <sz val="12"/>
        <color rgb="FF0070C0"/>
        <rFont val="Calibri"/>
        <family val="2"/>
      </rPr>
      <t xml:space="preserve"> -</t>
    </r>
  </si>
  <si>
    <r>
      <t xml:space="preserve">Årets nedskrivning </t>
    </r>
    <r>
      <rPr>
        <sz val="12"/>
        <color rgb="FF0070C0"/>
        <rFont val="Calibri"/>
        <family val="2"/>
      </rPr>
      <t>-</t>
    </r>
  </si>
  <si>
    <r>
      <t xml:space="preserve">Återförd nedskrivning </t>
    </r>
    <r>
      <rPr>
        <sz val="12"/>
        <color rgb="FF0070C0"/>
        <rFont val="Calibri"/>
        <family val="2"/>
      </rPr>
      <t>+</t>
    </r>
  </si>
  <si>
    <t>Vinst/avyttring</t>
  </si>
  <si>
    <t>Försäljningspris</t>
  </si>
  <si>
    <t>Total försäljning/utrangering</t>
  </si>
  <si>
    <t>Rea resultat</t>
  </si>
  <si>
    <t>Nedslagda utgifter på annans fastighet</t>
  </si>
  <si>
    <t>Inventarier, verktyg  och installationer</t>
  </si>
  <si>
    <r>
      <t xml:space="preserve">Ingående värde (fg ÅR UB) </t>
    </r>
    <r>
      <rPr>
        <sz val="12"/>
        <color rgb="FF0070C0"/>
        <rFont val="Calibri"/>
        <family val="2"/>
      </rPr>
      <t>+</t>
    </r>
  </si>
  <si>
    <t>Belopp i SEK</t>
  </si>
  <si>
    <t>Ställda säkerheter</t>
  </si>
  <si>
    <t>Företagsinteckningar</t>
  </si>
  <si>
    <t>Summa ställda säkerheter</t>
  </si>
  <si>
    <t>Hyresgaranti</t>
  </si>
  <si>
    <t>Summa eventualförpliktelser</t>
  </si>
  <si>
    <t>Ackumulerat anskaffningsvärde:</t>
  </si>
  <si>
    <t>- Vid årets början</t>
  </si>
  <si>
    <t>- Årets avyttring</t>
  </si>
  <si>
    <t>- Årets valutakursdifferenser</t>
  </si>
  <si>
    <t>Redovisat värde vid årets slut</t>
  </si>
  <si>
    <t>- Tillkommande fordringar</t>
  </si>
  <si>
    <t>Långfristiga fordringar</t>
  </si>
  <si>
    <t>Förfallotidpunkt, inom ett år från balansdagen</t>
  </si>
  <si>
    <t>Förfallotidpunkt, 1-5 år från balansdagen</t>
  </si>
  <si>
    <t>Förfallotidpunkt, senare än fem år från balansdagen</t>
  </si>
  <si>
    <t>Beviljad kreditlimit</t>
  </si>
  <si>
    <t>Outnyttjad del</t>
  </si>
  <si>
    <t xml:space="preserve">Skatt enligt gällande skattesats </t>
  </si>
  <si>
    <t>Ej avdragsgilla övriga externa kostnader</t>
  </si>
  <si>
    <t>Ej avdragsgill representation (intern)</t>
  </si>
  <si>
    <t>Ej avdragsgill representation (extern)</t>
  </si>
  <si>
    <t>Ej avdragsgill personalgåvor</t>
  </si>
  <si>
    <t>Böter (ska ej finnas, men om det ligger redovisat- ta med)</t>
  </si>
  <si>
    <t>Ej avdragsgill sjukvårdsförsäkring</t>
  </si>
  <si>
    <t>Ej avdragsgill del av självrisk (sjukvårdsförsäkring)</t>
  </si>
  <si>
    <t>FKUI (Förutbetalda kostnader &amp; upplupna intäkter)</t>
  </si>
  <si>
    <t>UKFI (upplupna kostnader &amp; förutbetalda intäkter)</t>
  </si>
  <si>
    <t>Programvaror, systemkostnader och licenser</t>
  </si>
  <si>
    <t>Upplupna revision- och rådgivningskostnader</t>
  </si>
  <si>
    <t xml:space="preserve">Fordran anställda </t>
  </si>
  <si>
    <t>Förvaltningsberättelse</t>
  </si>
  <si>
    <t>Arvoden för revisionsnära konsulttjänster</t>
  </si>
  <si>
    <t>Följande delkomponenter ingår i likvida medel:</t>
  </si>
  <si>
    <t>Banktillgodohavande</t>
  </si>
  <si>
    <t xml:space="preserve">Tillgodohavanden på koncernkonto </t>
  </si>
  <si>
    <t>- Tillkommande skulder</t>
  </si>
  <si>
    <t>Underkonsultkostnader</t>
  </si>
  <si>
    <t>Bolag:</t>
  </si>
  <si>
    <t>Redovisat värde:</t>
  </si>
  <si>
    <t>Tillgång:</t>
  </si>
  <si>
    <t>Marknadsvärde:</t>
  </si>
  <si>
    <t>- Årets andel i intresseföretagens resultat</t>
  </si>
  <si>
    <t>Årets resultat</t>
  </si>
  <si>
    <t>Justerat EK</t>
  </si>
  <si>
    <t>Andelar (antal)</t>
  </si>
  <si>
    <r>
      <t xml:space="preserve">Omräkningseffekt (valutaeffekt) </t>
    </r>
    <r>
      <rPr>
        <sz val="12"/>
        <color rgb="FF0070C0"/>
        <rFont val="Calibri"/>
        <family val="2"/>
      </rPr>
      <t>+/-</t>
    </r>
  </si>
  <si>
    <t>Totala saldon för konton 17xx</t>
  </si>
  <si>
    <t>Arvoden för skattekonsultationer</t>
  </si>
  <si>
    <t>Goodwill (Fusion/inkråm)</t>
  </si>
  <si>
    <t>Andelar i intressebolag</t>
  </si>
  <si>
    <t>Långfristiga värdepappersinnehav</t>
  </si>
  <si>
    <t>Kortfristig likvid placering</t>
  </si>
  <si>
    <t>Kassamedel</t>
  </si>
  <si>
    <t>Fakturerad men ej upparbetad intäkt</t>
  </si>
  <si>
    <t>Fastprisuppdrag</t>
  </si>
  <si>
    <r>
      <t xml:space="preserve">Upparbetad intäkt på ej avslutat uppdrag </t>
    </r>
    <r>
      <rPr>
        <sz val="11"/>
        <color rgb="FF0070C0"/>
        <rFont val="Calibri"/>
        <family val="2"/>
        <scheme val="minor"/>
      </rPr>
      <t>(+)</t>
    </r>
  </si>
  <si>
    <r>
      <t>Fakturerade belopp</t>
    </r>
    <r>
      <rPr>
        <sz val="11"/>
        <rFont val="Calibri"/>
        <family val="2"/>
        <scheme val="minor"/>
      </rPr>
      <t xml:space="preserve"> på ej avslutat uppdrag </t>
    </r>
    <r>
      <rPr>
        <sz val="11"/>
        <color rgb="FF0070C0"/>
        <rFont val="Calibri"/>
        <family val="2"/>
        <scheme val="minor"/>
      </rPr>
      <t>(-)</t>
    </r>
  </si>
  <si>
    <r>
      <t xml:space="preserve">Fakturerade belopp på ej avslutat uppdrag </t>
    </r>
    <r>
      <rPr>
        <sz val="11"/>
        <color rgb="FF0070C0"/>
        <rFont val="Calibri"/>
        <family val="2"/>
        <scheme val="minor"/>
      </rPr>
      <t>(+)</t>
    </r>
  </si>
  <si>
    <r>
      <t xml:space="preserve">Upparbetad intäkt på ej avslutat uppdrag </t>
    </r>
    <r>
      <rPr>
        <sz val="11"/>
        <color rgb="FF0070C0"/>
        <rFont val="Calibri"/>
        <family val="2"/>
        <scheme val="minor"/>
      </rPr>
      <t>(-)</t>
    </r>
  </si>
  <si>
    <t>Tillgodohavande på koncernkonto är klassificerad som "Koncernfordring"</t>
  </si>
  <si>
    <t xml:space="preserve">Denna not ska kopplas mot raden för kassa/bank, raden för koncernfordran/koncernskuld i årsredovisningens balansräkning samt (för större K3-bolag) kassaflödet. </t>
  </si>
  <si>
    <t>Långristiga skulder</t>
  </si>
  <si>
    <t>Banklån</t>
  </si>
  <si>
    <t>Långfristiga skulder</t>
  </si>
  <si>
    <t>Kortfristiga skulder</t>
  </si>
  <si>
    <t>Checkräkningskredit</t>
  </si>
  <si>
    <t xml:space="preserve">Summa kortfristiga skulder </t>
  </si>
  <si>
    <t>Summa långfristga skulder</t>
  </si>
  <si>
    <t>Checkkredit</t>
  </si>
  <si>
    <t>Skulder till kreditinstitut</t>
  </si>
  <si>
    <t>- Årets utdelning</t>
  </si>
  <si>
    <t>Andelar (%)</t>
  </si>
  <si>
    <t>Redovisat värde i bolaget</t>
  </si>
  <si>
    <t>Org nr:</t>
  </si>
  <si>
    <t>Kortfristiga placeringar</t>
  </si>
  <si>
    <t xml:space="preserve">Resultatandel </t>
  </si>
  <si>
    <t xml:space="preserve">Belopp </t>
  </si>
  <si>
    <t>Resultat från andelar i koncernföretag</t>
  </si>
  <si>
    <t xml:space="preserve">Utdelning </t>
  </si>
  <si>
    <t>Resultat från andelar i intresseföretag</t>
  </si>
  <si>
    <t>- Årets anskaffning genom genom köp och nyteckningar</t>
  </si>
  <si>
    <t>- Årets anskaffning genom genom ovillkorade aktieägartillskot</t>
  </si>
  <si>
    <t>- Årets anskaffning genom genom villkorade aktieägartillskot</t>
  </si>
  <si>
    <t>- Årets nedskrivning</t>
  </si>
  <si>
    <t>- Årets omföring från andelar i intressebolag</t>
  </si>
  <si>
    <t>Nedskrivning andelar i koncernbolag</t>
  </si>
  <si>
    <t>Nedskrivning andelar intressebolag</t>
  </si>
  <si>
    <t>Fastighetsinteckningar</t>
  </si>
  <si>
    <t>Aktier i bolag</t>
  </si>
  <si>
    <t xml:space="preserve">Upparbetad, ej fakturerad intäkt </t>
  </si>
  <si>
    <t>Totala arvoden utförd av den stämmovalda revisorn</t>
  </si>
  <si>
    <t>Finland</t>
  </si>
  <si>
    <t>Tyskland</t>
  </si>
  <si>
    <t>Skatt på årets resultat</t>
  </si>
  <si>
    <t>Belopp (lokal valuta)</t>
  </si>
  <si>
    <t>(ange konto RR)</t>
  </si>
  <si>
    <t>Beräkning</t>
  </si>
  <si>
    <r>
      <t xml:space="preserve">Kostnader över eget kapital </t>
    </r>
    <r>
      <rPr>
        <b/>
        <i/>
        <sz val="11"/>
        <color theme="9" tint="-0.249977111117893"/>
        <rFont val="Calibri"/>
        <family val="2"/>
        <scheme val="minor"/>
      </rPr>
      <t>(anges i +)</t>
    </r>
  </si>
  <si>
    <t>(ange konto BR)</t>
  </si>
  <si>
    <t>Kvar. Ej uppsagd</t>
  </si>
  <si>
    <t>Ej kvar. Uppsagd</t>
  </si>
  <si>
    <t>Efter 60 mån</t>
  </si>
  <si>
    <t>60 mån</t>
  </si>
  <si>
    <t>Omegapoint Stockholm AB</t>
  </si>
  <si>
    <t>Omegapoint Uppsala AB</t>
  </si>
  <si>
    <t>Omegapoint Denmark ApS</t>
  </si>
  <si>
    <t>Omegapoint Örebro AB</t>
  </si>
  <si>
    <t>Basalt AB</t>
  </si>
  <si>
    <t>Omegapoint Norge AS</t>
  </si>
  <si>
    <t>(Ange)</t>
  </si>
  <si>
    <t>Finansiell</t>
  </si>
  <si>
    <t>Operationell</t>
  </si>
  <si>
    <t>Kanada</t>
  </si>
  <si>
    <t>USA</t>
  </si>
  <si>
    <t>(Kontrakt)</t>
  </si>
  <si>
    <t>Kvar. Men uppsagd</t>
  </si>
  <si>
    <t>Irland</t>
  </si>
  <si>
    <t>(konto 3000-3199)</t>
  </si>
  <si>
    <t>Avskrivning fusionsgoodwill (obs! inkråmsgoodwill är avdragsgill och räknas ej med här)</t>
  </si>
  <si>
    <t>Nedskrivning aktieandelar</t>
  </si>
  <si>
    <t>Inköp av skattemässiga uppdrag (tex hjälp med deklaration).</t>
  </si>
  <si>
    <t>Schanblonränta P-fond (om det finns)</t>
  </si>
  <si>
    <t>Bokförda avskrivningar på inventarier OM under 3 år (anläggningstillgång)</t>
  </si>
  <si>
    <t>Bokförda avskrivningar på byggnader och förbättringsutgifter på annans fastighet (endast om den aviker från den skattemässiga avskrivningstiden)</t>
  </si>
  <si>
    <t>Skattemässig avskrivningar på inventarier (B41)</t>
  </si>
  <si>
    <t>Skattemässig avskrivningar på byggnader och förbättringsutgifter på annans fastighet 5% (B42)</t>
  </si>
  <si>
    <t xml:space="preserve">Nyttjande av ej spärrat underskottsavdrag </t>
  </si>
  <si>
    <t>Spärrade underskott</t>
  </si>
  <si>
    <t xml:space="preserve">Skattemässig koncernjustering räntenetto (N9)- Erica tilldelar denna </t>
  </si>
  <si>
    <t>(Övrigt)</t>
  </si>
  <si>
    <t>Emmissionskostnad</t>
  </si>
  <si>
    <t>Avstämning skattenot</t>
  </si>
  <si>
    <t>kontraktstyp</t>
  </si>
  <si>
    <t>Balanserade utgifter för utvecklingsarbete</t>
  </si>
  <si>
    <t>Saldo berörda balanskonton</t>
  </si>
  <si>
    <t>Konton i kontoklass 16 (och upparbetad, ej fakturerad intäkt från kontoklass 14)</t>
  </si>
  <si>
    <t>Not Väsentliga händelser efter räkenskapsårets slut</t>
  </si>
  <si>
    <t>Lånekredit (Revolving Credit Facility)</t>
  </si>
  <si>
    <t>(ange konto)</t>
  </si>
  <si>
    <t xml:space="preserve">Försäkringar </t>
  </si>
  <si>
    <t>Pensionskostnader</t>
  </si>
  <si>
    <t>Leasingavgifter</t>
  </si>
  <si>
    <t>Upplupna intäkter</t>
  </si>
  <si>
    <t>Utbildning- och resekostnader</t>
  </si>
  <si>
    <t>Upplupen lön, semester- och övertidsersättning</t>
  </si>
  <si>
    <t>Permitteringsstöd</t>
  </si>
  <si>
    <t>Upplupna underskonsulter</t>
  </si>
  <si>
    <t>- Årets anskaffning genom genom ovillkorade aktieägartillskott</t>
  </si>
  <si>
    <t>- Årets anskaffning genom genom villkorade aktieägartillskott</t>
  </si>
  <si>
    <t>(Feb)</t>
  </si>
  <si>
    <t>Fakturerade belopp (+)</t>
  </si>
  <si>
    <t>Av beställaren innehållna belopp (+)</t>
  </si>
  <si>
    <t>Uppdrag till fast pris- Huvudregeln (successiv vinstavräkning)</t>
  </si>
  <si>
    <t>Uppdrag till fast pris- Huvudregeln (Successiv vinstavräkning)</t>
  </si>
  <si>
    <t>-Varav lokalhyra</t>
  </si>
  <si>
    <t xml:space="preserve">Upparbetad men ej fakturerad intäkt </t>
  </si>
  <si>
    <t>2024-01--2024-12</t>
  </si>
  <si>
    <t>Omegapoint North America Inc</t>
  </si>
  <si>
    <t>AB Omegapoint HoldCo</t>
  </si>
  <si>
    <t xml:space="preserve">AB Omegapoint </t>
  </si>
  <si>
    <t>Omegapoint Göteborg AB (ink Elicit)</t>
  </si>
  <si>
    <t>Omegapoint Malmö AB (Ink E.Syd)</t>
  </si>
  <si>
    <t>Ej avdragsgill ränta (AB Omegapoint enbart)- Erica tilldelar denna</t>
  </si>
  <si>
    <t>Bil</t>
  </si>
  <si>
    <t>Cykel</t>
  </si>
  <si>
    <t>Maskin/inventarie</t>
  </si>
  <si>
    <t>ange konto</t>
  </si>
  <si>
    <t>UB 24</t>
  </si>
  <si>
    <t>Uppdrag till fast pris</t>
  </si>
  <si>
    <t>Övrig nettoomsättning</t>
  </si>
  <si>
    <r>
      <t xml:space="preserve">Uppdrag till fast pris- Alternativregeln </t>
    </r>
    <r>
      <rPr>
        <b/>
        <i/>
        <sz val="11"/>
        <color rgb="FFFF0000"/>
        <rFont val="Calibri"/>
        <family val="2"/>
        <scheme val="minor"/>
      </rPr>
      <t>(bör ej finnas)</t>
    </r>
  </si>
  <si>
    <t>Skatteeffekt underskott</t>
  </si>
  <si>
    <t>Skatt underskott</t>
  </si>
  <si>
    <t>Borgen, banklån</t>
  </si>
  <si>
    <t>I enlighet med låneavtal mellan Swedbank och AB Omegapoint, 559312-6120, ansvarar varje borgensman solidariskt i enlighet med Aktiebolagslagen 2005:551 varandras åtaganden.</t>
  </si>
  <si>
    <t>Moderföretagets aktier i dotterföretag är enligt låneavtalet pantsatta som säkerhet.</t>
  </si>
  <si>
    <t>Lokal/parkering</t>
  </si>
  <si>
    <t>Cedra Sverige AB</t>
  </si>
  <si>
    <t>Medeltalet anställda (FTE)</t>
  </si>
  <si>
    <t>Övriga ledande befattningshavare (headcount årets utgång)</t>
  </si>
  <si>
    <t>Styrelsen (headcount årets utgång)</t>
  </si>
  <si>
    <t>2025-01--2025-12</t>
  </si>
  <si>
    <t>2025-01--2025-11</t>
  </si>
  <si>
    <t>UB 25</t>
  </si>
  <si>
    <t>Rapportpaket ska vara klart senast:</t>
  </si>
  <si>
    <t>(Konto 3200-3799, exkl 3560, 3681 och 3687)</t>
  </si>
  <si>
    <t>Not)  Nettoomsättning per rörelsegren och geografisk marknad</t>
  </si>
  <si>
    <t>Not)  Arvode och kostnadsersättning till revisorer</t>
  </si>
  <si>
    <t>PWC Sverige AB</t>
  </si>
  <si>
    <t>Not)   Anställda, personalkostnader och arvoden till styrelse</t>
  </si>
  <si>
    <t>Not)  Operationell leasing</t>
  </si>
  <si>
    <t>Not)   Resultatandel</t>
  </si>
  <si>
    <t>Avyttring andelar i koncernbolag</t>
  </si>
  <si>
    <t>Avyttring andelar intressebolag</t>
  </si>
  <si>
    <t>Not)   Förutbetalda kostnader och upplupna intäkter</t>
  </si>
  <si>
    <t>Not)  Upplupna kostnader och förutbetalda intäkter</t>
  </si>
  <si>
    <t>Not) Övriga kortfristiga fordringar</t>
  </si>
  <si>
    <r>
      <t xml:space="preserve">Moms- och </t>
    </r>
    <r>
      <rPr>
        <sz val="11"/>
        <color theme="1"/>
        <rFont val="Calibri"/>
        <family val="2"/>
        <scheme val="minor"/>
      </rPr>
      <t>skattekonto</t>
    </r>
  </si>
  <si>
    <r>
      <t>Upparbetad, ej fakturerad intäkt (</t>
    </r>
    <r>
      <rPr>
        <b/>
        <sz val="11"/>
        <color rgb="FFC00000"/>
        <rFont val="Calibri"/>
        <family val="2"/>
        <scheme val="minor"/>
      </rPr>
      <t>Flyttat till nästa flik</t>
    </r>
    <r>
      <rPr>
        <sz val="11"/>
        <color rgb="FFC00000"/>
        <rFont val="Calibri"/>
        <family val="2"/>
        <scheme val="minor"/>
      </rPr>
      <t>)</t>
    </r>
  </si>
  <si>
    <t>Övriga kortfristiga fordringar- upparbetat men ej ej fakturerat</t>
  </si>
  <si>
    <t>Not) Upparbetad men ej fakturerad intäkt</t>
  </si>
  <si>
    <t>(Övrig kortfristig fordran)</t>
  </si>
  <si>
    <t>Konton i kontoklass 14</t>
  </si>
  <si>
    <t>Not) Fordran/skuld på beställaren</t>
  </si>
  <si>
    <t>Not)   Likvida medel</t>
  </si>
  <si>
    <t>Not) Immateriella anläggningstillgångar</t>
  </si>
  <si>
    <t>Not) Materiella anläggningstillgångar</t>
  </si>
  <si>
    <t>Ägd bil/försäljning företagsbil (ej lease)</t>
  </si>
  <si>
    <t>Not)   Andelar i intressebolag</t>
  </si>
  <si>
    <t>Not)   Långfristiga värdepappersinnehav</t>
  </si>
  <si>
    <t>Not)   Kortfristigt placeringar</t>
  </si>
  <si>
    <t>Not)   Långfristiga fordringar</t>
  </si>
  <si>
    <t>Not)   Långfristiga skulder</t>
  </si>
  <si>
    <t>Not)   Skulder till kreditinstitut</t>
  </si>
  <si>
    <t>Eventualförpliktelser och ansvarsförpliktelser</t>
  </si>
  <si>
    <t>Garantiförbindelse</t>
  </si>
  <si>
    <t>Övriga ansvarsförpliktelser</t>
  </si>
  <si>
    <t xml:space="preserve">Not) Ställda säkerheter och eventualförpliktelser </t>
  </si>
  <si>
    <t>Not Övriga ränteintäkter och liknande resultatposter</t>
  </si>
  <si>
    <t>Not Övriga räntekostnader och liknande resultatposter</t>
  </si>
  <si>
    <t>Not Antal aktier och kvotvärde</t>
  </si>
  <si>
    <t>Not Disposition av vinst eller förlust</t>
  </si>
  <si>
    <t>Not Uppgifter om moderföretag</t>
  </si>
  <si>
    <t>Not Uppgifter om moderföretag- Inköp och förs ljning inom koncernen</t>
  </si>
  <si>
    <t>Kassaflöde med notuppgifter</t>
  </si>
  <si>
    <t>Eget kapital rullning</t>
  </si>
  <si>
    <t>Resultat och Balans klassificering</t>
  </si>
  <si>
    <t>Anges ej här, Accountor brukar koppla noten direkt mot resultaträkningen</t>
  </si>
  <si>
    <t>Anges ej här. Oförändrad mot fg år</t>
  </si>
  <si>
    <t>Anges i "kompletterande uppgifter"</t>
  </si>
  <si>
    <t>Anges ej här. Accountor kopplar mot resultaträkningen. Ingen utdelning utgår i dotterbolagen. Resultat balanserar i ny räkning.</t>
  </si>
  <si>
    <t>Separat worddokument</t>
  </si>
  <si>
    <t>SLP (ej notuppgift)</t>
  </si>
  <si>
    <t>Not)   Andelar i koncernbolag</t>
  </si>
  <si>
    <t xml:space="preserve">Not Bokslutsdispositioner </t>
  </si>
  <si>
    <t>Anges ej här, Accountor brukar koppla noten direkt mot resultaträkningen (koncernbidraget)</t>
  </si>
  <si>
    <t>Ingående anskaffningsvärde:</t>
  </si>
  <si>
    <t>- Förvärv</t>
  </si>
  <si>
    <t>- Avyttring via fusion</t>
  </si>
  <si>
    <t>- Avyttring via försäljning</t>
  </si>
  <si>
    <t>- Aktieägartillskott</t>
  </si>
  <si>
    <t>Specifikation andelar i koncernföretag</t>
  </si>
  <si>
    <t>Namn:</t>
  </si>
  <si>
    <t>Kapitalandel</t>
  </si>
  <si>
    <t>Antal andelar</t>
  </si>
  <si>
    <t>Bokfört värde</t>
  </si>
  <si>
    <t>check</t>
  </si>
  <si>
    <t xml:space="preserve"> </t>
  </si>
  <si>
    <t>Avyttringens påverkan på balansräkningen:</t>
  </si>
  <si>
    <t>Varulager</t>
  </si>
  <si>
    <t>Kundfordringar</t>
  </si>
  <si>
    <t>Leverantörsskulder</t>
  </si>
  <si>
    <t>Erhållen köpeskilling</t>
  </si>
  <si>
    <t>Likvida medel i det avyttrade företaget</t>
  </si>
  <si>
    <t>Påverkan på koncernens likvida medel</t>
  </si>
  <si>
    <t>Not)    Avyttring av dotterföretag</t>
  </si>
  <si>
    <t>Andelar i koncernbolag och avyttring</t>
  </si>
  <si>
    <t>Text</t>
  </si>
  <si>
    <t>Nederländerna</t>
  </si>
  <si>
    <t>Österrike</t>
  </si>
  <si>
    <t>Frankrike</t>
  </si>
  <si>
    <t>Belgien</t>
  </si>
  <si>
    <t>BMW, 	
iX3 M Sport Charged LCI</t>
  </si>
  <si>
    <t>Rolfson Tobias</t>
  </si>
  <si>
    <t>KPN09B</t>
  </si>
  <si>
    <t>KIA EV9 GT Line AWD 2024</t>
  </si>
  <si>
    <t>Wikbrand, Kim</t>
  </si>
  <si>
    <t>SPW01W</t>
  </si>
  <si>
    <t>LSH37Z</t>
  </si>
  <si>
    <t>Tesla Model Y Performance fyrhjulsdrift</t>
  </si>
  <si>
    <t>Lundbeck, Fredrik</t>
  </si>
  <si>
    <t>BEK28W</t>
  </si>
  <si>
    <t>MiniCooper SE AII4</t>
  </si>
  <si>
    <t>DIAMIR, Johnson, Jenny</t>
  </si>
  <si>
    <t>ZHR823</t>
  </si>
  <si>
    <t>WBS15Z</t>
  </si>
  <si>
    <t>Hyra Kalendegatan 26</t>
  </si>
  <si>
    <t>1078-5441-05</t>
  </si>
  <si>
    <t>1078-8449-10</t>
  </si>
  <si>
    <t>1078-8443-05</t>
  </si>
  <si>
    <t>1078-8446-05</t>
  </si>
  <si>
    <t>Apcoa Parking - Hans Michelsen 9</t>
  </si>
  <si>
    <t>H-900023-000053421</t>
  </si>
  <si>
    <t>A10341656</t>
  </si>
  <si>
    <t>A10352694</t>
  </si>
  <si>
    <t>ID.7 Tourer Pro S Edition</t>
  </si>
  <si>
    <t xml:space="preserve">	
Passat SC (nya) eHybrid TSI 204 DSG Business
Passat SC (nya) eHybrid TSI 204 DSG Business</t>
  </si>
  <si>
    <t>KIA Sorento 1.6 T-GDi Plug-In Hybrid AWD AUT Advance Plus 7-sits</t>
  </si>
  <si>
    <t>Lindstein Fredrik</t>
  </si>
  <si>
    <t>Norlander Peter</t>
  </si>
  <si>
    <t>Ceasar Carl-Henrik</t>
  </si>
  <si>
    <t>Gustafsson Mats</t>
  </si>
  <si>
    <t>JKH17B</t>
  </si>
  <si>
    <t>EBR03G</t>
  </si>
  <si>
    <t>PBR06X</t>
  </si>
  <si>
    <t>Skattekonto vid fusion 1631 - Elicit Syd</t>
  </si>
  <si>
    <t>B3 IT</t>
  </si>
  <si>
    <t>559313-8166</t>
  </si>
  <si>
    <t>England</t>
  </si>
  <si>
    <t>1. Fredrik Lundbeck</t>
  </si>
  <si>
    <t>2. Kim Wikbrand</t>
  </si>
  <si>
    <t>3. Robert Svensson</t>
  </si>
  <si>
    <t>4. Jens Ode</t>
  </si>
  <si>
    <t>5. Mats Gustafsson</t>
  </si>
  <si>
    <t>6. Matilda Stenberg</t>
  </si>
  <si>
    <r>
      <t xml:space="preserve">Ledande befattningshavare för </t>
    </r>
    <r>
      <rPr>
        <b/>
        <u/>
        <sz val="11"/>
        <color rgb="FF000000"/>
        <rFont val="Aptos"/>
        <family val="2"/>
      </rPr>
      <t>2025</t>
    </r>
  </si>
  <si>
    <r>
      <t xml:space="preserve">1) Av bolagets pensionskostnader avser </t>
    </r>
    <r>
      <rPr>
        <sz val="11"/>
        <color rgb="FFC00000"/>
        <rFont val="Calibri"/>
        <family val="2"/>
        <scheme val="minor"/>
      </rPr>
      <t>690 638</t>
    </r>
    <r>
      <rPr>
        <sz val="11"/>
        <color theme="1"/>
        <rFont val="Calibri"/>
        <family val="2"/>
        <scheme val="minor"/>
      </rPr>
      <t xml:space="preserve"> kr (fg </t>
    </r>
    <r>
      <rPr>
        <sz val="11"/>
        <rFont val="Calibri"/>
        <family val="2"/>
        <scheme val="minor"/>
      </rPr>
      <t>år 649 577 kr</t>
    </r>
    <r>
      <rPr>
        <sz val="11"/>
        <color theme="1"/>
        <rFont val="Calibri"/>
        <family val="2"/>
        <scheme val="minor"/>
      </rPr>
      <t>) företagets Styrelse och VD.</t>
    </r>
  </si>
  <si>
    <r>
      <t xml:space="preserve">Bolagets utestående pensionsförpliktelser till dessa uppgår till 0 </t>
    </r>
    <r>
      <rPr>
        <sz val="11"/>
        <rFont val="Calibri"/>
        <family val="2"/>
        <scheme val="minor"/>
      </rPr>
      <t>(0) kr.</t>
    </r>
  </si>
  <si>
    <r>
      <t xml:space="preserve">Av de löner och ersättningar som lämnats till övriga anställda avser </t>
    </r>
    <r>
      <rPr>
        <sz val="11"/>
        <color rgb="FFC00000"/>
        <rFont val="Calibri"/>
        <family val="2"/>
        <scheme val="minor"/>
      </rPr>
      <t>4 656 458</t>
    </r>
    <r>
      <rPr>
        <sz val="11"/>
        <color rgb="FFFF0000"/>
        <rFont val="Calibri"/>
        <family val="2"/>
        <scheme val="minor"/>
      </rPr>
      <t xml:space="preserve"> kr </t>
    </r>
    <r>
      <rPr>
        <sz val="11"/>
        <rFont val="Calibri"/>
        <family val="2"/>
        <scheme val="minor"/>
      </rPr>
      <t>(4 594 619 kr) a</t>
    </r>
    <r>
      <rPr>
        <sz val="11"/>
        <color theme="1"/>
        <rFont val="Calibri"/>
        <family val="2"/>
        <scheme val="minor"/>
      </rPr>
      <t>ndra</t>
    </r>
  </si>
  <si>
    <t>Resultat före skatt (före koncernbidrag)</t>
  </si>
  <si>
    <t>Ej avdragsgilla kostnader OP Koko</t>
  </si>
  <si>
    <t>Se förra året (ingen förändring)</t>
  </si>
  <si>
    <t>Upprättad av: Djana Dzaferagic</t>
  </si>
  <si>
    <t>VOLVO EC40, 2024</t>
  </si>
  <si>
    <t>VOLVO V60, 2025</t>
  </si>
  <si>
    <t>VW ID.7 TOURER, 2024</t>
  </si>
  <si>
    <t>Johnson, Jenny</t>
  </si>
  <si>
    <t>Dennie Ovenberg</t>
  </si>
  <si>
    <t>EYK61X</t>
  </si>
  <si>
    <t>Anders Rundgrens cykel?</t>
  </si>
  <si>
    <t>Fredrik Lindsteins cykel?</t>
  </si>
  <si>
    <t>Malmö kommuns parkerings AB/P-huset Bagers Plats feb - 597002,</t>
  </si>
  <si>
    <t>Parkman plats 416 Citygaraget (Balder Spinneriet AB)</t>
  </si>
  <si>
    <t>Parkman Plats 443  (Balder Spinneriet AB) Citygaraget</t>
  </si>
  <si>
    <t>Parkman Plats 446  (Balder Spinneriet AB)  Citygaraget</t>
  </si>
  <si>
    <t>Parkman Plats 449  (Balder Spinneriet AB) Citygaraget</t>
  </si>
  <si>
    <t xml:space="preserve">Aimo Park Petri P-hus, Rundelsg 17-19/ Kattsundsg. 17-19 </t>
  </si>
  <si>
    <t>1078-8416-04</t>
  </si>
  <si>
    <t>A10466040</t>
  </si>
  <si>
    <t>Dejong NIO FM, Org. Kyl ink. Escowa, 302503500</t>
  </si>
  <si>
    <t>1 Aqua Vattenautomat</t>
  </si>
  <si>
    <t>1 Aqua Vattenautomat, 1 Convini Frys, 1 Convini Kyl ,1 Conv</t>
  </si>
  <si>
    <t>5010, 5012, 5220, 5614, 5615</t>
  </si>
  <si>
    <t xml:space="preserve"> (vid ej definitiv nedskrivningsindikation)- denna tilldelas av 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</si>
</sst>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yyyy\-mm\-dd"/>
    <numFmt numFmtId="167" formatCode="_-* #,##0.00\ _k_r_-;\-* #,##0.00\ _k_r_-;_-* &quot;-&quot;??\ _k_r_-;_-@_-"/>
    <numFmt numFmtId="168" formatCode="_-* #,##0_-;\-* #,##0_-;_-* &quot;-&quot;??_-;_-@_-"/>
  </numFmts>
  <fonts count="56">
    <font>
      <sz val="11"/>
      <color theme="1"/>
      <name val="Calibri"/>
      <family val="2"/>
      <scheme val="minor"/>
    </font>
    <font>
      <sz val="11"/>
      <color rgb="FFFF0000"/>
      <name val="Calibri"/>
      <family val="2"/>
      <scheme val="minor"/>
    </font>
    <font>
      <b/>
      <sz val="11"/>
      <color theme="1"/>
      <name val="Calibri"/>
      <family val="2"/>
      <scheme val="minor"/>
    </font>
    <font>
      <b/>
      <i/>
      <sz val="14"/>
      <color theme="1"/>
      <name val="Calibri"/>
      <family val="2"/>
      <scheme val="minor"/>
    </font>
    <font>
      <i/>
      <sz val="11"/>
      <color theme="1"/>
      <name val="Calibri"/>
      <family val="2"/>
      <scheme val="minor"/>
    </font>
    <font>
      <b/>
      <sz val="12"/>
      <color theme="1"/>
      <name val="Calibri"/>
      <family val="2"/>
      <scheme val="minor"/>
    </font>
    <font>
      <i/>
      <sz val="11"/>
      <color rgb="FFFF0000"/>
      <name val="Calibri"/>
      <family val="2"/>
      <scheme val="minor"/>
    </font>
    <font>
      <b/>
      <sz val="11"/>
      <color rgb="FFFF0000"/>
      <name val="Calibri"/>
      <family val="2"/>
      <scheme val="minor"/>
    </font>
    <font>
      <b/>
      <i/>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
      <sz val="11"/>
      <name val="Calibri"/>
      <family val="2"/>
      <scheme val="minor"/>
    </font>
    <font>
      <b/>
      <sz val="11"/>
      <name val="Calibri"/>
      <family val="2"/>
      <scheme val="minor"/>
    </font>
    <font>
      <sz val="11"/>
      <color rgb="FF0070C0"/>
      <name val="Calibri"/>
      <family val="2"/>
      <scheme val="minor"/>
    </font>
    <font>
      <i/>
      <sz val="11"/>
      <name val="Calibri"/>
      <family val="2"/>
      <scheme val="minor"/>
    </font>
    <font>
      <u/>
      <sz val="11"/>
      <color theme="1"/>
      <name val="Calibri"/>
      <family val="2"/>
      <scheme val="minor"/>
    </font>
    <font>
      <sz val="14"/>
      <name val="Calibri"/>
      <family val="2"/>
    </font>
    <font>
      <sz val="10"/>
      <name val="Calibri"/>
      <family val="2"/>
    </font>
    <font>
      <b/>
      <sz val="12"/>
      <color indexed="9"/>
      <name val="Calibri"/>
      <family val="2"/>
    </font>
    <font>
      <sz val="12"/>
      <name val="Calibri"/>
      <family val="2"/>
    </font>
    <font>
      <b/>
      <sz val="12"/>
      <name val="Calibri"/>
      <family val="2"/>
    </font>
    <font>
      <b/>
      <sz val="10"/>
      <name val="Calibri"/>
      <family val="2"/>
    </font>
    <font>
      <b/>
      <sz val="14"/>
      <name val="Calibri"/>
      <family val="2"/>
    </font>
    <font>
      <b/>
      <sz val="14"/>
      <color theme="1"/>
      <name val="Calibri"/>
      <family val="2"/>
      <scheme val="minor"/>
    </font>
    <font>
      <b/>
      <sz val="13"/>
      <color theme="1"/>
      <name val="Calibri"/>
      <family val="2"/>
      <scheme val="minor"/>
    </font>
    <font>
      <i/>
      <sz val="12"/>
      <name val="Calibri"/>
      <family val="2"/>
    </font>
    <font>
      <sz val="12"/>
      <color rgb="FF0070C0"/>
      <name val="Calibri"/>
      <family val="2"/>
    </font>
    <font>
      <i/>
      <sz val="12"/>
      <color rgb="FF0070C0"/>
      <name val="Calibri"/>
      <family val="2"/>
    </font>
    <font>
      <sz val="11"/>
      <color theme="9" tint="-0.249977111117893"/>
      <name val="Calibri"/>
      <family val="2"/>
      <scheme val="minor"/>
    </font>
    <font>
      <b/>
      <i/>
      <sz val="11"/>
      <color theme="9" tint="-0.249977111117893"/>
      <name val="Calibri"/>
      <family val="2"/>
      <scheme val="minor"/>
    </font>
    <font>
      <sz val="9"/>
      <color indexed="81"/>
      <name val="Tahoma"/>
      <family val="2"/>
    </font>
    <font>
      <b/>
      <sz val="9"/>
      <color indexed="81"/>
      <name val="Tahoma"/>
      <family val="2"/>
    </font>
    <font>
      <b/>
      <i/>
      <sz val="12"/>
      <name val="Calibri"/>
      <family val="2"/>
    </font>
    <font>
      <i/>
      <sz val="8"/>
      <color theme="1"/>
      <name val="Calibri"/>
      <family val="2"/>
      <scheme val="minor"/>
    </font>
    <font>
      <sz val="8"/>
      <color rgb="FFFF0000"/>
      <name val="Calibri"/>
      <family val="2"/>
      <scheme val="minor"/>
    </font>
    <font>
      <i/>
      <sz val="10"/>
      <color theme="1"/>
      <name val="Calibri"/>
      <family val="2"/>
      <scheme val="minor"/>
    </font>
    <font>
      <sz val="13"/>
      <color theme="1"/>
      <name val="Calibri"/>
      <family val="2"/>
      <scheme val="minor"/>
    </font>
    <font>
      <sz val="11"/>
      <color rgb="FFC00000"/>
      <name val="Calibri"/>
      <family val="2"/>
      <scheme val="minor"/>
    </font>
    <font>
      <sz val="11"/>
      <color theme="0"/>
      <name val="Calibri "/>
    </font>
    <font>
      <i/>
      <sz val="10"/>
      <color theme="1" tint="0.249977111117893"/>
      <name val="Calibri"/>
      <family val="2"/>
      <scheme val="minor"/>
    </font>
    <font>
      <sz val="10"/>
      <color theme="1" tint="0.249977111117893"/>
      <name val="Calibri"/>
      <family val="2"/>
      <scheme val="minor"/>
    </font>
    <font>
      <i/>
      <sz val="8"/>
      <color rgb="FFFF0000"/>
      <name val="Calibri"/>
      <family val="2"/>
      <scheme val="minor"/>
    </font>
    <font>
      <i/>
      <sz val="10"/>
      <name val="Calibri"/>
      <family val="2"/>
    </font>
    <font>
      <b/>
      <i/>
      <sz val="11"/>
      <color rgb="FFFF0000"/>
      <name val="Calibri"/>
      <family val="2"/>
      <scheme val="minor"/>
    </font>
    <font>
      <i/>
      <sz val="9"/>
      <color theme="1"/>
      <name val="Calibri"/>
      <family val="2"/>
      <scheme val="minor"/>
    </font>
    <font>
      <sz val="9"/>
      <name val="Calibri"/>
      <family val="2"/>
      <scheme val="minor"/>
    </font>
    <font>
      <sz val="9"/>
      <color theme="1"/>
      <name val="Calibri"/>
      <family val="2"/>
      <scheme val="minor"/>
    </font>
    <font>
      <b/>
      <sz val="11"/>
      <color rgb="FFC00000"/>
      <name val="Calibri"/>
      <family val="2"/>
      <scheme val="minor"/>
    </font>
    <font>
      <sz val="11"/>
      <color theme="1" tint="0.34998626667073579"/>
      <name val="Calibri"/>
      <family val="2"/>
      <scheme val="minor"/>
    </font>
    <font>
      <sz val="10"/>
      <color rgb="FF000000"/>
      <name val="Calibri"/>
      <family val="2"/>
    </font>
    <font>
      <b/>
      <sz val="10"/>
      <color rgb="FF000000"/>
      <name val="Calibri"/>
      <family val="2"/>
    </font>
    <font>
      <b/>
      <sz val="11"/>
      <color rgb="FF000000"/>
      <name val="Calibri"/>
      <family val="2"/>
    </font>
    <font>
      <sz val="10"/>
      <color rgb="FFFF0000"/>
      <name val="Calibri"/>
      <family val="2"/>
    </font>
    <font>
      <sz val="11"/>
      <color rgb="FF000000"/>
      <name val="Aptos"/>
      <family val="2"/>
    </font>
    <font>
      <b/>
      <u/>
      <sz val="11"/>
      <color rgb="FF000000"/>
      <name val="Aptos"/>
      <family val="2"/>
    </font>
  </fonts>
  <fills count="17">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CCECFF"/>
        <bgColor indexed="64"/>
      </patternFill>
    </fill>
    <fill>
      <patternFill patternType="solid">
        <fgColor rgb="FFFFFFCC"/>
        <bgColor indexed="64"/>
      </patternFill>
    </fill>
    <fill>
      <patternFill patternType="solid">
        <fgColor rgb="FFFFCCFF"/>
        <bgColor indexed="64"/>
      </patternFill>
    </fill>
    <fill>
      <patternFill patternType="solid">
        <fgColor theme="7" tint="0.59999389629810485"/>
        <bgColor indexed="64"/>
      </patternFill>
    </fill>
    <fill>
      <patternFill patternType="solid">
        <fgColor rgb="FFCCFFCC"/>
        <bgColor indexed="64"/>
      </patternFill>
    </fill>
  </fills>
  <borders count="29">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bottom style="hair">
        <color indexed="64"/>
      </bottom>
      <diagonal/>
    </border>
    <border>
      <left style="thin">
        <color indexed="64"/>
      </left>
      <right style="thin">
        <color indexed="64"/>
      </right>
      <top style="thin">
        <color indexed="64"/>
      </top>
      <bottom/>
      <diagonal/>
    </border>
    <border>
      <left/>
      <right style="thin">
        <color theme="0"/>
      </right>
      <top/>
      <bottom/>
      <diagonal/>
    </border>
    <border>
      <left style="hair">
        <color indexed="64"/>
      </left>
      <right style="hair">
        <color indexed="64"/>
      </right>
      <top style="hair">
        <color indexed="64"/>
      </top>
      <bottom style="hair">
        <color indexed="64"/>
      </bottom>
      <diagonal/>
    </border>
    <border>
      <left style="thin">
        <color rgb="FF576B7F"/>
      </left>
      <right style="thin">
        <color rgb="FF576B7F"/>
      </right>
      <top style="thin">
        <color rgb="FF576B7F"/>
      </top>
      <bottom style="thin">
        <color rgb="FF576B7F"/>
      </bottom>
      <diagonal/>
    </border>
    <border>
      <left/>
      <right style="hair">
        <color indexed="64"/>
      </right>
      <top style="hair">
        <color indexed="64"/>
      </top>
      <bottom style="hair">
        <color indexed="64"/>
      </bottom>
      <diagonal/>
    </border>
    <border>
      <left/>
      <right style="hair">
        <color indexed="64"/>
      </right>
      <top/>
      <bottom/>
      <diagonal/>
    </border>
    <border>
      <left/>
      <right/>
      <top/>
      <bottom style="thin">
        <color theme="0"/>
      </bottom>
      <diagonal/>
    </border>
    <border>
      <left style="thin">
        <color theme="0"/>
      </left>
      <right style="thin">
        <color theme="0"/>
      </right>
      <top/>
      <bottom/>
      <diagonal/>
    </border>
    <border>
      <left style="thin">
        <color theme="0"/>
      </left>
      <right/>
      <top/>
      <bottom/>
      <diagonal/>
    </border>
    <border>
      <left/>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style="thin">
        <color theme="0" tint="-4.9989318521683403E-2"/>
      </right>
      <top/>
      <bottom/>
      <diagonal/>
    </border>
  </borders>
  <cellStyleXfs count="2">
    <xf numFmtId="0" fontId="0" fillId="0" borderId="0"/>
    <xf numFmtId="43" fontId="9" fillId="0" borderId="0" applyFont="0" applyFill="0" applyBorder="0" applyAlignment="0" applyProtection="0"/>
  </cellStyleXfs>
  <cellXfs count="47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3" fillId="0" borderId="0" xfId="0" applyFont="1"/>
    <xf numFmtId="0" fontId="4" fillId="0" borderId="0" xfId="0" applyFont="1" applyAlignment="1">
      <alignment horizontal="right"/>
    </xf>
    <xf numFmtId="0" fontId="0" fillId="0" borderId="1" xfId="0" applyBorder="1"/>
    <xf numFmtId="14" fontId="4" fillId="0" borderId="1" xfId="0" applyNumberFormat="1" applyFont="1" applyBorder="1" applyAlignment="1">
      <alignment horizontal="right"/>
    </xf>
    <xf numFmtId="0" fontId="5" fillId="0" borderId="0" xfId="0" applyFont="1"/>
    <xf numFmtId="0" fontId="0" fillId="0" borderId="0" xfId="0" applyAlignment="1">
      <alignment horizontal="right"/>
    </xf>
    <xf numFmtId="3" fontId="0" fillId="0" borderId="0" xfId="0" applyNumberFormat="1"/>
    <xf numFmtId="3" fontId="2" fillId="0" borderId="0" xfId="0" applyNumberFormat="1" applyFont="1"/>
    <xf numFmtId="14" fontId="0" fillId="0" borderId="1" xfId="0" applyNumberFormat="1" applyBorder="1" applyAlignment="1">
      <alignment horizontal="right"/>
    </xf>
    <xf numFmtId="0" fontId="0" fillId="0" borderId="0" xfId="0" applyAlignment="1">
      <alignment horizontal="center"/>
    </xf>
    <xf numFmtId="164" fontId="0" fillId="0" borderId="0" xfId="0" applyNumberFormat="1"/>
    <xf numFmtId="0" fontId="2" fillId="0" borderId="0" xfId="0" applyFont="1"/>
    <xf numFmtId="3" fontId="0" fillId="2" borderId="0" xfId="0" applyNumberFormat="1" applyFill="1"/>
    <xf numFmtId="3" fontId="0" fillId="2" borderId="1" xfId="0" applyNumberFormat="1" applyFill="1" applyBorder="1"/>
    <xf numFmtId="0" fontId="6" fillId="0" borderId="0" xfId="0" applyFont="1"/>
    <xf numFmtId="0" fontId="0" fillId="6" borderId="0" xfId="0" applyFill="1"/>
    <xf numFmtId="0" fontId="0" fillId="0" borderId="7" xfId="0" applyBorder="1"/>
    <xf numFmtId="0" fontId="0" fillId="0" borderId="8" xfId="0" applyBorder="1"/>
    <xf numFmtId="3" fontId="0" fillId="2" borderId="0" xfId="0" applyNumberFormat="1" applyFill="1" applyAlignment="1">
      <alignment horizontal="right"/>
    </xf>
    <xf numFmtId="3" fontId="0" fillId="0" borderId="0" xfId="0" applyNumberFormat="1" applyAlignment="1">
      <alignment horizontal="right"/>
    </xf>
    <xf numFmtId="0" fontId="0" fillId="2" borderId="6" xfId="0" applyFill="1" applyBorder="1" applyAlignment="1">
      <alignment horizontal="right"/>
    </xf>
    <xf numFmtId="0" fontId="0" fillId="2" borderId="7" xfId="0" applyFill="1" applyBorder="1" applyAlignment="1">
      <alignment horizontal="right"/>
    </xf>
    <xf numFmtId="0" fontId="0" fillId="2" borderId="8" xfId="0" applyFill="1" applyBorder="1" applyAlignment="1">
      <alignment horizontal="right"/>
    </xf>
    <xf numFmtId="0" fontId="8" fillId="0" borderId="0" xfId="0" applyFont="1"/>
    <xf numFmtId="10" fontId="0" fillId="0" borderId="0" xfId="0" applyNumberFormat="1"/>
    <xf numFmtId="0" fontId="0" fillId="0" borderId="9" xfId="0" applyBorder="1"/>
    <xf numFmtId="0" fontId="0" fillId="2" borderId="9" xfId="0" applyFill="1" applyBorder="1"/>
    <xf numFmtId="0" fontId="0" fillId="4" borderId="9" xfId="0" applyFill="1" applyBorder="1"/>
    <xf numFmtId="3" fontId="2" fillId="0" borderId="0" xfId="0" applyNumberFormat="1" applyFont="1" applyAlignment="1">
      <alignment horizontal="right"/>
    </xf>
    <xf numFmtId="0" fontId="2" fillId="0" borderId="0" xfId="0" applyFont="1" applyAlignment="1">
      <alignment horizontal="right"/>
    </xf>
    <xf numFmtId="3" fontId="7" fillId="0" borderId="0" xfId="0" applyNumberFormat="1" applyFont="1" applyAlignment="1">
      <alignment horizontal="right"/>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3" fontId="0" fillId="2" borderId="8" xfId="0" applyNumberFormat="1" applyFill="1" applyBorder="1" applyAlignment="1">
      <alignment horizontal="right"/>
    </xf>
    <xf numFmtId="0" fontId="0" fillId="0" borderId="6" xfId="0" applyBorder="1"/>
    <xf numFmtId="0" fontId="0" fillId="0" borderId="5" xfId="0" applyBorder="1"/>
    <xf numFmtId="0" fontId="0" fillId="5" borderId="0" xfId="0" applyFill="1" applyAlignment="1">
      <alignment horizontal="right"/>
    </xf>
    <xf numFmtId="3" fontId="0" fillId="5" borderId="0" xfId="0" applyNumberFormat="1" applyFill="1" applyAlignment="1">
      <alignment horizontal="right"/>
    </xf>
    <xf numFmtId="3" fontId="2" fillId="5" borderId="0" xfId="0" applyNumberFormat="1" applyFont="1" applyFill="1" applyAlignment="1">
      <alignment horizontal="right"/>
    </xf>
    <xf numFmtId="3" fontId="7" fillId="5" borderId="0" xfId="0" applyNumberFormat="1" applyFont="1" applyFill="1" applyAlignment="1">
      <alignment horizontal="right"/>
    </xf>
    <xf numFmtId="0" fontId="2" fillId="5" borderId="0" xfId="0" applyFont="1" applyFill="1" applyAlignment="1">
      <alignment horizontal="right"/>
    </xf>
    <xf numFmtId="3" fontId="0" fillId="2" borderId="1" xfId="0" applyNumberFormat="1" applyFill="1" applyBorder="1" applyAlignment="1">
      <alignment horizontal="right"/>
    </xf>
    <xf numFmtId="3" fontId="0" fillId="5" borderId="0" xfId="0" applyNumberFormat="1" applyFill="1"/>
    <xf numFmtId="0" fontId="1" fillId="0" borderId="1" xfId="0" applyFont="1" applyBorder="1"/>
    <xf numFmtId="14" fontId="1" fillId="0" borderId="0" xfId="0" applyNumberFormat="1" applyFont="1"/>
    <xf numFmtId="0" fontId="0" fillId="0" borderId="0" xfId="0" applyAlignment="1">
      <alignment horizontal="left"/>
    </xf>
    <xf numFmtId="0" fontId="0" fillId="2" borderId="0" xfId="0" applyFill="1" applyAlignment="1">
      <alignment horizontal="left"/>
    </xf>
    <xf numFmtId="3" fontId="2" fillId="2" borderId="0" xfId="0" applyNumberFormat="1" applyFont="1" applyFill="1"/>
    <xf numFmtId="0" fontId="0" fillId="5" borderId="1" xfId="0" applyFill="1" applyBorder="1"/>
    <xf numFmtId="0" fontId="2" fillId="0" borderId="13" xfId="0" applyFont="1" applyBorder="1"/>
    <xf numFmtId="0" fontId="0" fillId="0" borderId="13" xfId="0" applyBorder="1"/>
    <xf numFmtId="3" fontId="2" fillId="0" borderId="13" xfId="0" applyNumberFormat="1" applyFont="1" applyBorder="1"/>
    <xf numFmtId="165" fontId="0" fillId="0" borderId="9" xfId="0" applyNumberFormat="1" applyBorder="1" applyAlignment="1">
      <alignment horizontal="center"/>
    </xf>
    <xf numFmtId="3" fontId="0" fillId="0" borderId="2" xfId="0" applyNumberFormat="1" applyBorder="1"/>
    <xf numFmtId="3" fontId="0" fillId="0" borderId="3" xfId="0" applyNumberFormat="1" applyBorder="1"/>
    <xf numFmtId="3" fontId="0" fillId="3" borderId="4" xfId="0" applyNumberFormat="1" applyFill="1" applyBorder="1"/>
    <xf numFmtId="3" fontId="2" fillId="0" borderId="0" xfId="0" applyNumberFormat="1" applyFont="1" applyAlignment="1">
      <alignment horizontal="center"/>
    </xf>
    <xf numFmtId="0" fontId="0" fillId="3" borderId="5" xfId="0" applyFill="1" applyBorder="1"/>
    <xf numFmtId="0" fontId="0" fillId="3" borderId="6" xfId="0" applyFill="1" applyBorder="1"/>
    <xf numFmtId="165" fontId="0" fillId="0" borderId="7" xfId="0" applyNumberFormat="1" applyBorder="1"/>
    <xf numFmtId="0" fontId="4" fillId="0" borderId="0" xfId="0" applyFont="1"/>
    <xf numFmtId="0" fontId="0" fillId="5" borderId="0" xfId="0" applyFill="1" applyAlignment="1">
      <alignment horizontal="left"/>
    </xf>
    <xf numFmtId="0" fontId="14" fillId="0" borderId="0" xfId="0" applyFont="1"/>
    <xf numFmtId="3" fontId="0" fillId="0" borderId="9" xfId="0" applyNumberFormat="1" applyBorder="1"/>
    <xf numFmtId="0" fontId="2" fillId="5" borderId="0" xfId="0" applyFont="1" applyFill="1"/>
    <xf numFmtId="0" fontId="16" fillId="0" borderId="0" xfId="0" applyFont="1"/>
    <xf numFmtId="4" fontId="2" fillId="0" borderId="0" xfId="0" applyNumberFormat="1" applyFont="1"/>
    <xf numFmtId="14" fontId="0" fillId="5" borderId="0" xfId="0" applyNumberFormat="1" applyFill="1"/>
    <xf numFmtId="4" fontId="0" fillId="5" borderId="0" xfId="0" applyNumberFormat="1" applyFill="1"/>
    <xf numFmtId="4" fontId="2" fillId="5" borderId="0" xfId="0" applyNumberFormat="1" applyFont="1" applyFill="1"/>
    <xf numFmtId="0" fontId="1" fillId="0" borderId="0" xfId="0" applyFont="1"/>
    <xf numFmtId="3" fontId="2" fillId="5" borderId="0" xfId="0" applyNumberFormat="1" applyFont="1" applyFill="1"/>
    <xf numFmtId="0" fontId="0" fillId="5" borderId="15" xfId="0" applyFill="1" applyBorder="1"/>
    <xf numFmtId="0" fontId="12" fillId="5" borderId="0" xfId="0" applyFont="1" applyFill="1"/>
    <xf numFmtId="0" fontId="0" fillId="5" borderId="0" xfId="0" applyFill="1" applyAlignment="1">
      <alignment horizontal="center"/>
    </xf>
    <xf numFmtId="0" fontId="0" fillId="3" borderId="16" xfId="0" applyFill="1" applyBorder="1" applyAlignment="1">
      <alignment horizontal="left"/>
    </xf>
    <xf numFmtId="0" fontId="0" fillId="4" borderId="16" xfId="0" applyFill="1" applyBorder="1"/>
    <xf numFmtId="0" fontId="0" fillId="4" borderId="16" xfId="0" applyFill="1" applyBorder="1" applyAlignment="1">
      <alignment horizontal="center"/>
    </xf>
    <xf numFmtId="0" fontId="0" fillId="3" borderId="16" xfId="0" applyFill="1" applyBorder="1" applyAlignment="1">
      <alignment horizontal="center"/>
    </xf>
    <xf numFmtId="0" fontId="0" fillId="4" borderId="9" xfId="0" applyFill="1" applyBorder="1" applyAlignment="1">
      <alignment horizontal="center"/>
    </xf>
    <xf numFmtId="3" fontId="0" fillId="4" borderId="9" xfId="0" applyNumberFormat="1" applyFill="1" applyBorder="1" applyAlignment="1">
      <alignment horizontal="center"/>
    </xf>
    <xf numFmtId="0" fontId="0" fillId="3" borderId="10" xfId="0" applyFill="1" applyBorder="1" applyAlignment="1">
      <alignment horizontal="left"/>
    </xf>
    <xf numFmtId="0" fontId="0" fillId="4" borderId="10" xfId="0" applyFill="1" applyBorder="1"/>
    <xf numFmtId="0" fontId="0" fillId="4" borderId="10" xfId="0" applyFill="1" applyBorder="1" applyAlignment="1">
      <alignment horizontal="center"/>
    </xf>
    <xf numFmtId="0" fontId="0" fillId="3" borderId="3" xfId="0" applyFill="1" applyBorder="1" applyAlignment="1">
      <alignment horizontal="center"/>
    </xf>
    <xf numFmtId="0" fontId="0" fillId="5" borderId="3" xfId="0" applyFill="1" applyBorder="1" applyAlignment="1">
      <alignment horizontal="center"/>
    </xf>
    <xf numFmtId="166" fontId="0" fillId="0" borderId="9" xfId="0" applyNumberFormat="1" applyBorder="1"/>
    <xf numFmtId="3" fontId="0" fillId="2" borderId="9" xfId="0" applyNumberFormat="1" applyFill="1" applyBorder="1"/>
    <xf numFmtId="0" fontId="0" fillId="0" borderId="17" xfId="0" applyBorder="1"/>
    <xf numFmtId="3" fontId="0" fillId="2" borderId="17" xfId="0" applyNumberFormat="1" applyFill="1" applyBorder="1"/>
    <xf numFmtId="3" fontId="0" fillId="5" borderId="1" xfId="0" applyNumberFormat="1" applyFill="1" applyBorder="1"/>
    <xf numFmtId="0" fontId="12" fillId="0" borderId="0" xfId="0" applyFont="1"/>
    <xf numFmtId="3" fontId="0" fillId="5" borderId="0" xfId="0" applyNumberFormat="1" applyFill="1" applyAlignment="1">
      <alignment horizontal="center"/>
    </xf>
    <xf numFmtId="43" fontId="0" fillId="5" borderId="0" xfId="1" applyFont="1" applyFill="1"/>
    <xf numFmtId="43" fontId="0" fillId="5" borderId="0" xfId="0" applyNumberFormat="1" applyFill="1"/>
    <xf numFmtId="0" fontId="10" fillId="0" borderId="0" xfId="0" applyFont="1" applyAlignment="1">
      <alignment horizontal="right"/>
    </xf>
    <xf numFmtId="0" fontId="10" fillId="0" borderId="0" xfId="0" applyFont="1"/>
    <xf numFmtId="10" fontId="10" fillId="0" borderId="0" xfId="0" applyNumberFormat="1" applyFont="1"/>
    <xf numFmtId="14" fontId="10" fillId="0" borderId="0" xfId="0" applyNumberFormat="1" applyFont="1"/>
    <xf numFmtId="0" fontId="12" fillId="2" borderId="9" xfId="0" applyFont="1" applyFill="1" applyBorder="1"/>
    <xf numFmtId="0" fontId="12" fillId="2" borderId="0" xfId="0" applyFont="1" applyFill="1"/>
    <xf numFmtId="0" fontId="1" fillId="5" borderId="0" xfId="0" applyFont="1" applyFill="1"/>
    <xf numFmtId="0" fontId="2" fillId="4" borderId="0" xfId="0" applyFont="1" applyFill="1"/>
    <xf numFmtId="0" fontId="0" fillId="0" borderId="18" xfId="0" applyBorder="1"/>
    <xf numFmtId="3" fontId="0" fillId="0" borderId="18" xfId="0" applyNumberFormat="1" applyBorder="1"/>
    <xf numFmtId="0" fontId="17" fillId="0" borderId="0" xfId="0" applyFont="1" applyAlignment="1">
      <alignment horizontal="left"/>
    </xf>
    <xf numFmtId="0" fontId="20" fillId="0" borderId="0" xfId="0" applyFont="1" applyAlignment="1">
      <alignment horizontal="left" wrapText="1"/>
    </xf>
    <xf numFmtId="4" fontId="18" fillId="0" borderId="0" xfId="0" applyNumberFormat="1" applyFont="1" applyAlignment="1">
      <alignment horizontal="right"/>
    </xf>
    <xf numFmtId="0" fontId="20" fillId="3" borderId="0" xfId="0" applyFont="1" applyFill="1" applyAlignment="1">
      <alignment horizontal="left" wrapText="1"/>
    </xf>
    <xf numFmtId="0" fontId="20" fillId="4" borderId="0" xfId="0" applyFont="1" applyFill="1" applyAlignment="1">
      <alignment horizontal="left" wrapText="1"/>
    </xf>
    <xf numFmtId="0" fontId="19" fillId="4" borderId="0" xfId="0" applyFont="1" applyFill="1" applyAlignment="1">
      <alignment horizontal="center" wrapText="1"/>
    </xf>
    <xf numFmtId="3" fontId="22" fillId="0" borderId="0" xfId="0" applyNumberFormat="1" applyFont="1" applyAlignment="1">
      <alignment horizontal="right"/>
    </xf>
    <xf numFmtId="3" fontId="18" fillId="0" borderId="0" xfId="0" applyNumberFormat="1" applyFont="1" applyAlignment="1">
      <alignment horizontal="right"/>
    </xf>
    <xf numFmtId="3" fontId="18" fillId="3" borderId="0" xfId="0" applyNumberFormat="1" applyFont="1" applyFill="1" applyAlignment="1">
      <alignment horizontal="right"/>
    </xf>
    <xf numFmtId="3" fontId="18" fillId="4" borderId="0" xfId="0" applyNumberFormat="1" applyFont="1" applyFill="1" applyAlignment="1">
      <alignment horizontal="right"/>
    </xf>
    <xf numFmtId="3" fontId="2" fillId="4" borderId="0" xfId="0" applyNumberFormat="1" applyFont="1" applyFill="1"/>
    <xf numFmtId="0" fontId="21" fillId="0" borderId="0" xfId="0" applyFont="1" applyAlignment="1">
      <alignment horizontal="left" wrapText="1"/>
    </xf>
    <xf numFmtId="0" fontId="5" fillId="0" borderId="1" xfId="0" applyFont="1" applyBorder="1"/>
    <xf numFmtId="3" fontId="4" fillId="0" borderId="0" xfId="0" applyNumberFormat="1" applyFont="1"/>
    <xf numFmtId="0" fontId="4" fillId="5" borderId="0" xfId="0" applyFont="1" applyFill="1" applyAlignment="1">
      <alignment horizontal="right"/>
    </xf>
    <xf numFmtId="3" fontId="4" fillId="0" borderId="0" xfId="0" applyNumberFormat="1" applyFont="1" applyAlignment="1">
      <alignment horizontal="right"/>
    </xf>
    <xf numFmtId="3" fontId="4" fillId="5" borderId="0" xfId="0" applyNumberFormat="1" applyFont="1" applyFill="1" applyAlignment="1">
      <alignment horizontal="right"/>
    </xf>
    <xf numFmtId="0" fontId="3" fillId="0" borderId="1" xfId="0" applyFont="1" applyBorder="1"/>
    <xf numFmtId="14" fontId="4" fillId="0" borderId="0" xfId="0" applyNumberFormat="1" applyFont="1" applyAlignment="1">
      <alignment horizontal="right"/>
    </xf>
    <xf numFmtId="14" fontId="4" fillId="5" borderId="0" xfId="0" applyNumberFormat="1" applyFont="1" applyFill="1" applyAlignment="1">
      <alignment horizontal="right"/>
    </xf>
    <xf numFmtId="4" fontId="0" fillId="2" borderId="0" xfId="0" applyNumberFormat="1" applyFill="1"/>
    <xf numFmtId="0" fontId="0" fillId="5" borderId="2" xfId="0" applyFill="1" applyBorder="1"/>
    <xf numFmtId="0" fontId="0" fillId="5" borderId="7" xfId="0" applyFill="1" applyBorder="1"/>
    <xf numFmtId="0" fontId="0" fillId="5" borderId="3" xfId="0" applyFill="1" applyBorder="1"/>
    <xf numFmtId="0" fontId="4" fillId="5" borderId="4" xfId="0" applyFont="1" applyFill="1" applyBorder="1"/>
    <xf numFmtId="0" fontId="6" fillId="5" borderId="3" xfId="0" applyFont="1" applyFill="1" applyBorder="1"/>
    <xf numFmtId="3" fontId="0" fillId="5" borderId="5" xfId="0" applyNumberFormat="1" applyFill="1" applyBorder="1"/>
    <xf numFmtId="3" fontId="0" fillId="5" borderId="6" xfId="0" applyNumberFormat="1" applyFill="1" applyBorder="1"/>
    <xf numFmtId="3" fontId="0" fillId="5" borderId="7" xfId="0" applyNumberFormat="1" applyFill="1" applyBorder="1"/>
    <xf numFmtId="3" fontId="1" fillId="5" borderId="1" xfId="0" applyNumberFormat="1" applyFont="1" applyFill="1" applyBorder="1"/>
    <xf numFmtId="3" fontId="1" fillId="5" borderId="8" xfId="0" applyNumberFormat="1" applyFont="1" applyFill="1" applyBorder="1"/>
    <xf numFmtId="0" fontId="0" fillId="0" borderId="2" xfId="0" applyBorder="1"/>
    <xf numFmtId="0" fontId="8" fillId="0" borderId="1" xfId="0" applyFont="1" applyBorder="1"/>
    <xf numFmtId="0" fontId="4" fillId="0" borderId="5" xfId="0" applyFont="1" applyBorder="1"/>
    <xf numFmtId="14" fontId="0" fillId="0" borderId="0" xfId="0" applyNumberFormat="1" applyAlignment="1">
      <alignment horizontal="right"/>
    </xf>
    <xf numFmtId="0" fontId="4" fillId="0" borderId="1" xfId="0" applyFont="1" applyBorder="1"/>
    <xf numFmtId="3" fontId="0" fillId="0" borderId="1" xfId="0" applyNumberFormat="1" applyBorder="1"/>
    <xf numFmtId="4" fontId="0" fillId="0" borderId="0" xfId="0" applyNumberFormat="1"/>
    <xf numFmtId="0" fontId="0" fillId="0" borderId="3" xfId="0" applyBorder="1"/>
    <xf numFmtId="0" fontId="0" fillId="0" borderId="4" xfId="0" applyBorder="1"/>
    <xf numFmtId="0" fontId="5" fillId="0" borderId="2" xfId="0" applyFont="1" applyBorder="1"/>
    <xf numFmtId="0" fontId="8" fillId="0" borderId="2" xfId="0" applyFont="1" applyBorder="1"/>
    <xf numFmtId="0" fontId="26" fillId="0" borderId="0" xfId="0" applyFont="1" applyAlignment="1">
      <alignment horizontal="left" wrapText="1"/>
    </xf>
    <xf numFmtId="0" fontId="0" fillId="5" borderId="21" xfId="0" applyFill="1" applyBorder="1"/>
    <xf numFmtId="0" fontId="0" fillId="5" borderId="18" xfId="0" applyFill="1" applyBorder="1" applyAlignment="1">
      <alignment wrapText="1"/>
    </xf>
    <xf numFmtId="0" fontId="0" fillId="5" borderId="20" xfId="0" applyFill="1" applyBorder="1" applyAlignment="1">
      <alignment wrapText="1"/>
    </xf>
    <xf numFmtId="3" fontId="0" fillId="5" borderId="20" xfId="0" applyNumberFormat="1" applyFill="1" applyBorder="1"/>
    <xf numFmtId="0" fontId="19" fillId="4" borderId="0" xfId="0" applyFont="1" applyFill="1" applyAlignment="1">
      <alignment horizontal="right" wrapText="1"/>
    </xf>
    <xf numFmtId="3" fontId="2" fillId="4" borderId="0" xfId="0" applyNumberFormat="1" applyFont="1" applyFill="1" applyAlignment="1">
      <alignment horizontal="right"/>
    </xf>
    <xf numFmtId="0" fontId="24" fillId="5" borderId="0" xfId="0" applyFont="1" applyFill="1"/>
    <xf numFmtId="0" fontId="21" fillId="5" borderId="0" xfId="0" applyFont="1" applyFill="1" applyAlignment="1">
      <alignment horizontal="center" wrapText="1"/>
    </xf>
    <xf numFmtId="14" fontId="21" fillId="5" borderId="0" xfId="0" applyNumberFormat="1" applyFont="1" applyFill="1" applyAlignment="1">
      <alignment horizontal="center" wrapText="1"/>
    </xf>
    <xf numFmtId="0" fontId="19" fillId="5" borderId="0" xfId="0" applyFont="1" applyFill="1" applyAlignment="1">
      <alignment horizontal="center" wrapText="1"/>
    </xf>
    <xf numFmtId="3" fontId="22" fillId="5" borderId="0" xfId="0" applyNumberFormat="1" applyFont="1" applyFill="1" applyAlignment="1">
      <alignment horizontal="right"/>
    </xf>
    <xf numFmtId="3" fontId="18" fillId="5" borderId="0" xfId="0" applyNumberFormat="1" applyFont="1" applyFill="1" applyAlignment="1">
      <alignment horizontal="right"/>
    </xf>
    <xf numFmtId="4" fontId="18" fillId="5" borderId="0" xfId="0" applyNumberFormat="1" applyFont="1" applyFill="1" applyAlignment="1">
      <alignment horizontal="right"/>
    </xf>
    <xf numFmtId="3" fontId="0" fillId="5" borderId="18" xfId="0" applyNumberFormat="1" applyFill="1" applyBorder="1"/>
    <xf numFmtId="0" fontId="0" fillId="5" borderId="18" xfId="0" applyFill="1" applyBorder="1" applyAlignment="1">
      <alignment horizontal="center" wrapText="1"/>
    </xf>
    <xf numFmtId="0" fontId="0" fillId="5" borderId="20" xfId="0" applyFill="1" applyBorder="1" applyAlignment="1">
      <alignment horizontal="center" wrapText="1"/>
    </xf>
    <xf numFmtId="0" fontId="0" fillId="0" borderId="0" xfId="0" quotePrefix="1"/>
    <xf numFmtId="164" fontId="0" fillId="5" borderId="0" xfId="0" applyNumberFormat="1" applyFill="1"/>
    <xf numFmtId="0" fontId="0" fillId="0" borderId="11" xfId="0" applyBorder="1" applyAlignment="1">
      <alignment horizontal="left"/>
    </xf>
    <xf numFmtId="0" fontId="0" fillId="0" borderId="12" xfId="0" applyBorder="1" applyAlignment="1">
      <alignment horizontal="left"/>
    </xf>
    <xf numFmtId="10" fontId="2" fillId="0" borderId="0" xfId="0" applyNumberFormat="1" applyFont="1" applyAlignment="1">
      <alignment horizontal="left"/>
    </xf>
    <xf numFmtId="3" fontId="4" fillId="0" borderId="1" xfId="0" applyNumberFormat="1" applyFont="1" applyBorder="1" applyAlignment="1">
      <alignment horizontal="right"/>
    </xf>
    <xf numFmtId="3" fontId="0" fillId="0" borderId="1" xfId="0" applyNumberFormat="1" applyBorder="1" applyAlignment="1">
      <alignment horizontal="right"/>
    </xf>
    <xf numFmtId="164" fontId="0" fillId="0" borderId="1" xfId="0" applyNumberFormat="1" applyBorder="1"/>
    <xf numFmtId="0" fontId="8" fillId="5" borderId="0" xfId="0" applyFont="1" applyFill="1"/>
    <xf numFmtId="0" fontId="25" fillId="3" borderId="4" xfId="0" applyFont="1" applyFill="1" applyBorder="1"/>
    <xf numFmtId="0" fontId="1" fillId="5" borderId="3" xfId="0" applyFont="1" applyFill="1" applyBorder="1"/>
    <xf numFmtId="3" fontId="0" fillId="5" borderId="8" xfId="0" applyNumberFormat="1" applyFill="1" applyBorder="1"/>
    <xf numFmtId="0" fontId="2" fillId="5" borderId="3" xfId="0" applyFont="1" applyFill="1" applyBorder="1"/>
    <xf numFmtId="3" fontId="2" fillId="5" borderId="1" xfId="0" applyNumberFormat="1" applyFont="1" applyFill="1" applyBorder="1"/>
    <xf numFmtId="0" fontId="2" fillId="5" borderId="1" xfId="0" applyFont="1" applyFill="1" applyBorder="1"/>
    <xf numFmtId="3" fontId="2" fillId="5" borderId="8" xfId="0" applyNumberFormat="1" applyFont="1" applyFill="1" applyBorder="1"/>
    <xf numFmtId="0" fontId="0" fillId="2" borderId="0" xfId="0" quotePrefix="1" applyFill="1"/>
    <xf numFmtId="164" fontId="4" fillId="0" borderId="0" xfId="0" applyNumberFormat="1" applyFont="1"/>
    <xf numFmtId="0" fontId="0" fillId="0" borderId="22" xfId="0" applyBorder="1"/>
    <xf numFmtId="0" fontId="10" fillId="2" borderId="17" xfId="0" applyFont="1" applyFill="1" applyBorder="1"/>
    <xf numFmtId="0" fontId="2" fillId="0" borderId="17" xfId="0" applyFont="1" applyBorder="1"/>
    <xf numFmtId="0" fontId="0" fillId="2" borderId="17" xfId="0" applyFill="1" applyBorder="1"/>
    <xf numFmtId="0" fontId="0" fillId="2" borderId="23" xfId="0" applyFill="1" applyBorder="1"/>
    <xf numFmtId="14" fontId="0" fillId="0" borderId="0" xfId="0" applyNumberFormat="1" applyAlignment="1">
      <alignment horizontal="center"/>
    </xf>
    <xf numFmtId="0" fontId="33" fillId="0" borderId="0" xfId="0" applyFont="1" applyAlignment="1">
      <alignment horizontal="left" wrapText="1"/>
    </xf>
    <xf numFmtId="0" fontId="0" fillId="5" borderId="1" xfId="0" applyFill="1" applyBorder="1" applyAlignment="1">
      <alignment horizontal="right"/>
    </xf>
    <xf numFmtId="0" fontId="15" fillId="5" borderId="0" xfId="0" applyFont="1" applyFill="1"/>
    <xf numFmtId="0" fontId="18" fillId="4" borderId="0" xfId="0" applyFont="1" applyFill="1" applyAlignment="1">
      <alignment horizontal="center" wrapText="1"/>
    </xf>
    <xf numFmtId="3" fontId="18" fillId="2" borderId="0" xfId="0" applyNumberFormat="1" applyFont="1" applyFill="1" applyAlignment="1">
      <alignment horizontal="center"/>
    </xf>
    <xf numFmtId="3" fontId="22" fillId="0" borderId="0" xfId="0" applyNumberFormat="1" applyFont="1" applyAlignment="1">
      <alignment horizontal="center"/>
    </xf>
    <xf numFmtId="3" fontId="18" fillId="0" borderId="0" xfId="0" applyNumberFormat="1" applyFont="1" applyAlignment="1">
      <alignment horizontal="center"/>
    </xf>
    <xf numFmtId="3" fontId="2" fillId="4" borderId="0" xfId="0" applyNumberFormat="1" applyFont="1" applyFill="1" applyAlignment="1">
      <alignment horizontal="center"/>
    </xf>
    <xf numFmtId="3" fontId="18" fillId="2" borderId="18" xfId="0" applyNumberFormat="1" applyFont="1" applyFill="1" applyBorder="1" applyAlignment="1">
      <alignment horizontal="center"/>
    </xf>
    <xf numFmtId="4" fontId="18" fillId="0" borderId="0" xfId="0" applyNumberFormat="1" applyFont="1" applyAlignment="1">
      <alignment horizontal="center"/>
    </xf>
    <xf numFmtId="0" fontId="0" fillId="2" borderId="24" xfId="0" applyFill="1" applyBorder="1"/>
    <xf numFmtId="14" fontId="0" fillId="0" borderId="0" xfId="0" applyNumberFormat="1"/>
    <xf numFmtId="0" fontId="34" fillId="0" borderId="0" xfId="0" applyFont="1"/>
    <xf numFmtId="0" fontId="35" fillId="0" borderId="0" xfId="0" applyFont="1" applyAlignment="1">
      <alignment horizontal="center"/>
    </xf>
    <xf numFmtId="3" fontId="36" fillId="0" borderId="0" xfId="0" applyNumberFormat="1" applyFont="1" applyAlignment="1">
      <alignment horizontal="right"/>
    </xf>
    <xf numFmtId="0" fontId="36" fillId="0" borderId="0" xfId="0" applyFont="1" applyAlignment="1">
      <alignment horizontal="center"/>
    </xf>
    <xf numFmtId="0" fontId="25" fillId="5" borderId="0" xfId="0" applyFont="1" applyFill="1"/>
    <xf numFmtId="164" fontId="37" fillId="5" borderId="0" xfId="0" applyNumberFormat="1" applyFont="1" applyFill="1"/>
    <xf numFmtId="3" fontId="0" fillId="2" borderId="16" xfId="0" applyNumberFormat="1" applyFill="1" applyBorder="1" applyAlignment="1">
      <alignment horizontal="center"/>
    </xf>
    <xf numFmtId="3" fontId="0" fillId="4" borderId="16" xfId="0" applyNumberFormat="1" applyFill="1" applyBorder="1" applyAlignment="1">
      <alignment horizontal="center"/>
    </xf>
    <xf numFmtId="3" fontId="0" fillId="2" borderId="10" xfId="0" applyNumberFormat="1" applyFill="1" applyBorder="1" applyAlignment="1">
      <alignment horizontal="center"/>
    </xf>
    <xf numFmtId="3" fontId="0" fillId="4" borderId="10" xfId="0" applyNumberFormat="1" applyFill="1" applyBorder="1" applyAlignment="1">
      <alignment horizontal="center"/>
    </xf>
    <xf numFmtId="3" fontId="0" fillId="2" borderId="9" xfId="0" applyNumberFormat="1" applyFill="1" applyBorder="1" applyAlignment="1">
      <alignment horizontal="center" vertical="center"/>
    </xf>
    <xf numFmtId="3" fontId="0" fillId="0" borderId="9" xfId="0" applyNumberFormat="1" applyBorder="1" applyAlignment="1">
      <alignment horizontal="center" vertical="center"/>
    </xf>
    <xf numFmtId="167" fontId="0" fillId="0" borderId="0" xfId="0" applyNumberFormat="1"/>
    <xf numFmtId="2" fontId="0" fillId="2" borderId="0" xfId="0" applyNumberFormat="1" applyFill="1"/>
    <xf numFmtId="10" fontId="2" fillId="0" borderId="0" xfId="0" applyNumberFormat="1" applyFont="1" applyAlignment="1">
      <alignment horizontal="right"/>
    </xf>
    <xf numFmtId="0" fontId="4" fillId="0" borderId="1" xfId="0" applyFont="1" applyBorder="1" applyAlignment="1">
      <alignment horizontal="right"/>
    </xf>
    <xf numFmtId="4" fontId="2" fillId="5" borderId="0" xfId="0" applyNumberFormat="1" applyFont="1" applyFill="1" applyAlignment="1">
      <alignment horizontal="right"/>
    </xf>
    <xf numFmtId="0" fontId="38" fillId="0" borderId="0" xfId="0" applyFont="1"/>
    <xf numFmtId="0" fontId="38" fillId="5" borderId="0" xfId="0" applyFont="1" applyFill="1"/>
    <xf numFmtId="0" fontId="12" fillId="2" borderId="11" xfId="0" applyFont="1" applyFill="1" applyBorder="1"/>
    <xf numFmtId="0" fontId="0" fillId="5" borderId="16" xfId="0" applyFill="1" applyBorder="1" applyAlignment="1">
      <alignment horizontal="center"/>
    </xf>
    <xf numFmtId="3" fontId="14" fillId="0" borderId="0" xfId="0" applyNumberFormat="1" applyFont="1"/>
    <xf numFmtId="165" fontId="0" fillId="0" borderId="0" xfId="0" applyNumberFormat="1" applyAlignment="1">
      <alignment horizontal="center"/>
    </xf>
    <xf numFmtId="0" fontId="0" fillId="2" borderId="1" xfId="0" applyFill="1" applyBorder="1"/>
    <xf numFmtId="3" fontId="1" fillId="0" borderId="1" xfId="0" applyNumberFormat="1" applyFont="1" applyBorder="1"/>
    <xf numFmtId="3" fontId="0" fillId="3" borderId="0" xfId="0" applyNumberFormat="1" applyFill="1"/>
    <xf numFmtId="3" fontId="0" fillId="3" borderId="1" xfId="0" applyNumberFormat="1" applyFill="1" applyBorder="1"/>
    <xf numFmtId="4" fontId="0" fillId="3" borderId="0" xfId="0" applyNumberFormat="1" applyFill="1"/>
    <xf numFmtId="2" fontId="0" fillId="3" borderId="0" xfId="0" applyNumberFormat="1" applyFill="1"/>
    <xf numFmtId="3" fontId="0" fillId="3" borderId="7" xfId="0" applyNumberFormat="1" applyFill="1" applyBorder="1"/>
    <xf numFmtId="3" fontId="0" fillId="3" borderId="8" xfId="0" applyNumberFormat="1" applyFill="1" applyBorder="1"/>
    <xf numFmtId="0" fontId="0" fillId="3" borderId="10" xfId="0" applyFill="1" applyBorder="1" applyAlignment="1">
      <alignment horizontal="center"/>
    </xf>
    <xf numFmtId="3" fontId="0" fillId="3" borderId="0" xfId="0" applyNumberFormat="1" applyFill="1" applyAlignment="1">
      <alignment horizontal="right"/>
    </xf>
    <xf numFmtId="3" fontId="0" fillId="3" borderId="1" xfId="0" applyNumberFormat="1" applyFill="1" applyBorder="1" applyAlignment="1">
      <alignment horizontal="right"/>
    </xf>
    <xf numFmtId="3" fontId="0" fillId="3" borderId="16" xfId="0" applyNumberFormat="1" applyFill="1" applyBorder="1" applyAlignment="1">
      <alignment horizontal="right"/>
    </xf>
    <xf numFmtId="3" fontId="0" fillId="3" borderId="2" xfId="0" applyNumberFormat="1" applyFill="1" applyBorder="1" applyAlignment="1">
      <alignment horizontal="right"/>
    </xf>
    <xf numFmtId="3" fontId="0" fillId="3" borderId="3" xfId="0" applyNumberFormat="1" applyFill="1" applyBorder="1" applyAlignment="1">
      <alignment horizontal="right"/>
    </xf>
    <xf numFmtId="3" fontId="0" fillId="3" borderId="4" xfId="0" applyNumberFormat="1" applyFill="1" applyBorder="1" applyAlignment="1">
      <alignment horizontal="right"/>
    </xf>
    <xf numFmtId="0" fontId="0" fillId="3" borderId="4" xfId="0" applyFill="1" applyBorder="1" applyAlignment="1">
      <alignment horizontal="right"/>
    </xf>
    <xf numFmtId="0" fontId="0" fillId="3" borderId="2" xfId="0" applyFill="1" applyBorder="1" applyAlignment="1">
      <alignment horizontal="right"/>
    </xf>
    <xf numFmtId="0" fontId="0" fillId="3" borderId="3" xfId="0" applyFill="1" applyBorder="1" applyAlignment="1">
      <alignment horizontal="right"/>
    </xf>
    <xf numFmtId="3" fontId="18" fillId="5" borderId="0" xfId="0" applyNumberFormat="1" applyFont="1" applyFill="1" applyAlignment="1">
      <alignment horizontal="center"/>
    </xf>
    <xf numFmtId="0" fontId="20" fillId="5" borderId="0" xfId="0" applyFont="1" applyFill="1" applyAlignment="1">
      <alignment horizontal="left" wrapText="1"/>
    </xf>
    <xf numFmtId="0" fontId="0" fillId="3" borderId="24" xfId="0" applyFill="1" applyBorder="1"/>
    <xf numFmtId="0" fontId="0" fillId="3" borderId="17" xfId="0" applyFill="1" applyBorder="1"/>
    <xf numFmtId="0" fontId="0" fillId="3" borderId="23" xfId="0" applyFill="1" applyBorder="1"/>
    <xf numFmtId="0" fontId="0" fillId="3" borderId="0" xfId="0" quotePrefix="1" applyFill="1"/>
    <xf numFmtId="0" fontId="10" fillId="3" borderId="17" xfId="0" applyFont="1" applyFill="1" applyBorder="1"/>
    <xf numFmtId="0" fontId="39" fillId="0" borderId="0" xfId="0" applyFont="1"/>
    <xf numFmtId="10" fontId="10" fillId="0" borderId="0" xfId="0" applyNumberFormat="1" applyFont="1" applyAlignment="1">
      <alignment horizontal="left"/>
    </xf>
    <xf numFmtId="0" fontId="40" fillId="0" borderId="0" xfId="0" applyFont="1" applyAlignment="1">
      <alignment horizontal="right"/>
    </xf>
    <xf numFmtId="0" fontId="41" fillId="0" borderId="0" xfId="0" applyFont="1" applyAlignment="1">
      <alignment horizontal="right"/>
    </xf>
    <xf numFmtId="14" fontId="41" fillId="0" borderId="9" xfId="0" applyNumberFormat="1" applyFont="1" applyBorder="1" applyAlignment="1">
      <alignment horizontal="right"/>
    </xf>
    <xf numFmtId="0" fontId="41" fillId="0" borderId="9" xfId="0" applyFont="1" applyBorder="1" applyAlignment="1">
      <alignment horizontal="right"/>
    </xf>
    <xf numFmtId="10" fontId="41" fillId="0" borderId="9" xfId="0" applyNumberFormat="1" applyFont="1" applyBorder="1" applyAlignment="1">
      <alignment horizontal="right"/>
    </xf>
    <xf numFmtId="14" fontId="23" fillId="0" borderId="0" xfId="0" applyNumberFormat="1" applyFont="1"/>
    <xf numFmtId="0" fontId="23" fillId="0" borderId="0" xfId="0" applyFont="1"/>
    <xf numFmtId="0" fontId="24" fillId="0" borderId="0" xfId="0" applyFont="1"/>
    <xf numFmtId="0" fontId="4" fillId="5" borderId="0" xfId="0" applyFont="1" applyFill="1"/>
    <xf numFmtId="0" fontId="42" fillId="0" borderId="0" xfId="0" applyFont="1" applyAlignment="1">
      <alignment horizontal="center"/>
    </xf>
    <xf numFmtId="0" fontId="20" fillId="8" borderId="19" xfId="0" applyFont="1" applyFill="1" applyBorder="1" applyAlignment="1">
      <alignment horizontal="left" wrapText="1"/>
    </xf>
    <xf numFmtId="0" fontId="21" fillId="8" borderId="19" xfId="0" applyFont="1" applyFill="1" applyBorder="1" applyAlignment="1">
      <alignment horizontal="center" wrapText="1"/>
    </xf>
    <xf numFmtId="14" fontId="43" fillId="8" borderId="19" xfId="0" applyNumberFormat="1" applyFont="1" applyFill="1" applyBorder="1" applyAlignment="1">
      <alignment horizontal="center" wrapText="1"/>
    </xf>
    <xf numFmtId="3" fontId="2" fillId="9" borderId="0" xfId="0" applyNumberFormat="1" applyFont="1" applyFill="1"/>
    <xf numFmtId="0" fontId="0" fillId="4" borderId="16" xfId="0" applyFill="1" applyBorder="1" applyAlignment="1">
      <alignment horizontal="left"/>
    </xf>
    <xf numFmtId="0" fontId="0" fillId="4" borderId="3" xfId="0" applyFill="1" applyBorder="1" applyAlignment="1">
      <alignment horizontal="left"/>
    </xf>
    <xf numFmtId="3" fontId="12" fillId="5" borderId="9" xfId="0" applyNumberFormat="1" applyFont="1" applyFill="1" applyBorder="1"/>
    <xf numFmtId="3" fontId="12" fillId="2" borderId="9" xfId="0" applyNumberFormat="1" applyFont="1" applyFill="1" applyBorder="1"/>
    <xf numFmtId="3" fontId="12" fillId="5" borderId="9" xfId="0" applyNumberFormat="1" applyFont="1" applyFill="1" applyBorder="1" applyAlignment="1">
      <alignment horizontal="center" vertical="center"/>
    </xf>
    <xf numFmtId="3" fontId="12" fillId="5" borderId="12" xfId="0" applyNumberFormat="1" applyFont="1" applyFill="1" applyBorder="1" applyAlignment="1">
      <alignment horizontal="center" vertical="center"/>
    </xf>
    <xf numFmtId="0" fontId="0" fillId="2" borderId="9" xfId="0" applyFill="1" applyBorder="1" applyAlignment="1">
      <alignment horizontal="left"/>
    </xf>
    <xf numFmtId="166" fontId="12" fillId="2" borderId="9" xfId="0" applyNumberFormat="1" applyFont="1" applyFill="1" applyBorder="1"/>
    <xf numFmtId="0" fontId="0" fillId="2" borderId="10" xfId="0" applyFill="1" applyBorder="1"/>
    <xf numFmtId="14" fontId="12" fillId="2" borderId="9" xfId="0" applyNumberFormat="1" applyFont="1" applyFill="1" applyBorder="1"/>
    <xf numFmtId="14" fontId="0" fillId="2" borderId="9" xfId="0" applyNumberFormat="1" applyFill="1" applyBorder="1"/>
    <xf numFmtId="0" fontId="12" fillId="2" borderId="10" xfId="0" applyFont="1" applyFill="1" applyBorder="1" applyAlignment="1">
      <alignment horizontal="center"/>
    </xf>
    <xf numFmtId="14" fontId="12" fillId="2" borderId="10" xfId="0" applyNumberFormat="1" applyFont="1" applyFill="1" applyBorder="1" applyAlignment="1">
      <alignment horizontal="center"/>
    </xf>
    <xf numFmtId="14" fontId="12" fillId="2" borderId="9" xfId="0" applyNumberFormat="1" applyFont="1" applyFill="1" applyBorder="1" applyAlignment="1">
      <alignment horizontal="center"/>
    </xf>
    <xf numFmtId="0" fontId="12" fillId="2" borderId="9" xfId="0" applyFont="1" applyFill="1" applyBorder="1" applyAlignment="1">
      <alignment horizontal="center"/>
    </xf>
    <xf numFmtId="0" fontId="0" fillId="2" borderId="10" xfId="0" applyFill="1" applyBorder="1" applyAlignment="1">
      <alignment horizontal="center"/>
    </xf>
    <xf numFmtId="4" fontId="12" fillId="2" borderId="9" xfId="0" applyNumberFormat="1" applyFont="1" applyFill="1" applyBorder="1"/>
    <xf numFmtId="0" fontId="0" fillId="2" borderId="9" xfId="0" applyFill="1" applyBorder="1" applyAlignment="1">
      <alignment horizontal="center"/>
    </xf>
    <xf numFmtId="165" fontId="13" fillId="0" borderId="9" xfId="0" applyNumberFormat="1" applyFont="1" applyBorder="1"/>
    <xf numFmtId="14" fontId="0" fillId="10" borderId="0" xfId="0" applyNumberFormat="1" applyFill="1"/>
    <xf numFmtId="0" fontId="1" fillId="5" borderId="0" xfId="0" applyFont="1" applyFill="1" applyAlignment="1">
      <alignment horizontal="right"/>
    </xf>
    <xf numFmtId="0" fontId="1" fillId="5" borderId="1" xfId="0" applyFont="1" applyFill="1" applyBorder="1"/>
    <xf numFmtId="0" fontId="1" fillId="5" borderId="1" xfId="0" applyFont="1" applyFill="1" applyBorder="1" applyAlignment="1">
      <alignment horizontal="right"/>
    </xf>
    <xf numFmtId="164" fontId="1" fillId="0" borderId="0" xfId="0" applyNumberFormat="1" applyFont="1"/>
    <xf numFmtId="3" fontId="1" fillId="2" borderId="0" xfId="0" applyNumberFormat="1" applyFont="1" applyFill="1" applyAlignment="1">
      <alignment horizontal="right"/>
    </xf>
    <xf numFmtId="3" fontId="1" fillId="5" borderId="0" xfId="0" applyNumberFormat="1" applyFont="1" applyFill="1" applyAlignment="1">
      <alignment horizontal="right"/>
    </xf>
    <xf numFmtId="3" fontId="1" fillId="3" borderId="0" xfId="0" applyNumberFormat="1" applyFont="1" applyFill="1" applyAlignment="1">
      <alignment horizontal="right"/>
    </xf>
    <xf numFmtId="2" fontId="12" fillId="3" borderId="0" xfId="0" applyNumberFormat="1" applyFont="1" applyFill="1"/>
    <xf numFmtId="0" fontId="13" fillId="5" borderId="3" xfId="0" applyFont="1" applyFill="1" applyBorder="1"/>
    <xf numFmtId="0" fontId="21" fillId="11" borderId="19" xfId="0" applyFont="1" applyFill="1" applyBorder="1" applyAlignment="1">
      <alignment horizontal="center" wrapText="1"/>
    </xf>
    <xf numFmtId="14" fontId="0" fillId="0" borderId="0" xfId="0" applyNumberFormat="1" applyAlignment="1">
      <alignment horizontal="left"/>
    </xf>
    <xf numFmtId="3" fontId="45" fillId="0" borderId="7" xfId="0" applyNumberFormat="1" applyFont="1" applyBorder="1" applyAlignment="1">
      <alignment horizontal="left"/>
    </xf>
    <xf numFmtId="3" fontId="0" fillId="5" borderId="2" xfId="0" applyNumberFormat="1" applyFill="1" applyBorder="1"/>
    <xf numFmtId="0" fontId="46" fillId="0" borderId="0" xfId="0" applyFont="1"/>
    <xf numFmtId="0" fontId="47" fillId="0" borderId="0" xfId="0" applyFont="1"/>
    <xf numFmtId="0" fontId="4" fillId="5" borderId="1" xfId="0" applyFont="1" applyFill="1" applyBorder="1"/>
    <xf numFmtId="3" fontId="0" fillId="4" borderId="0" xfId="0" applyNumberFormat="1" applyFill="1" applyAlignment="1">
      <alignment horizontal="right"/>
    </xf>
    <xf numFmtId="0" fontId="1" fillId="0" borderId="9" xfId="0" applyFont="1" applyBorder="1"/>
    <xf numFmtId="0" fontId="12" fillId="0" borderId="9" xfId="0" applyFont="1" applyBorder="1"/>
    <xf numFmtId="0" fontId="49" fillId="0" borderId="0" xfId="0" applyFont="1"/>
    <xf numFmtId="0" fontId="0" fillId="0" borderId="25" xfId="0" applyBorder="1"/>
    <xf numFmtId="0" fontId="0" fillId="2" borderId="27" xfId="0" applyFill="1" applyBorder="1"/>
    <xf numFmtId="0" fontId="0" fillId="2" borderId="28" xfId="0" applyFill="1" applyBorder="1"/>
    <xf numFmtId="0" fontId="0" fillId="2" borderId="26" xfId="0" applyFill="1" applyBorder="1"/>
    <xf numFmtId="0" fontId="0" fillId="0" borderId="28" xfId="0" applyBorder="1"/>
    <xf numFmtId="14" fontId="4" fillId="5" borderId="1" xfId="0" applyNumberFormat="1" applyFont="1" applyFill="1" applyBorder="1" applyAlignment="1">
      <alignment horizontal="right"/>
    </xf>
    <xf numFmtId="0" fontId="53" fillId="0" borderId="0" xfId="0" applyFont="1" applyAlignment="1">
      <alignment vertical="center"/>
    </xf>
    <xf numFmtId="0" fontId="50" fillId="0" borderId="0" xfId="0" applyFont="1" applyAlignment="1">
      <alignment vertical="center" wrapText="1"/>
    </xf>
    <xf numFmtId="0" fontId="50" fillId="0" borderId="0" xfId="0" applyFont="1" applyAlignment="1">
      <alignment horizontal="right" vertical="center" wrapText="1"/>
    </xf>
    <xf numFmtId="0" fontId="52" fillId="0" borderId="0" xfId="0" applyFont="1" applyAlignment="1">
      <alignment vertical="center"/>
    </xf>
    <xf numFmtId="0" fontId="50" fillId="0" borderId="0" xfId="0" applyFont="1" applyAlignment="1">
      <alignment vertical="center"/>
    </xf>
    <xf numFmtId="0" fontId="1" fillId="0" borderId="0" xfId="0" applyFont="1" applyAlignment="1">
      <alignment vertical="center"/>
    </xf>
    <xf numFmtId="0" fontId="50" fillId="4" borderId="0" xfId="0" applyFont="1" applyFill="1" applyAlignment="1">
      <alignment horizontal="right" vertical="center" wrapText="1"/>
    </xf>
    <xf numFmtId="0" fontId="50" fillId="2" borderId="0" xfId="0" applyFont="1" applyFill="1" applyAlignment="1">
      <alignment horizontal="right" vertical="center" wrapText="1"/>
    </xf>
    <xf numFmtId="0" fontId="2" fillId="0" borderId="0" xfId="0" quotePrefix="1" applyFont="1"/>
    <xf numFmtId="0" fontId="0" fillId="0" borderId="1" xfId="0" quotePrefix="1" applyBorder="1"/>
    <xf numFmtId="0" fontId="51" fillId="0" borderId="0" xfId="0" applyFont="1" applyAlignment="1">
      <alignment horizontal="right" vertical="center" wrapText="1"/>
    </xf>
    <xf numFmtId="0" fontId="50" fillId="2" borderId="1" xfId="0" applyFont="1" applyFill="1" applyBorder="1" applyAlignment="1">
      <alignment horizontal="right" vertical="center" wrapText="1"/>
    </xf>
    <xf numFmtId="0" fontId="50" fillId="4" borderId="1" xfId="0" applyFont="1" applyFill="1" applyBorder="1" applyAlignment="1">
      <alignment horizontal="right" vertical="center" wrapText="1"/>
    </xf>
    <xf numFmtId="0" fontId="50" fillId="0" borderId="1" xfId="0" applyFont="1" applyBorder="1" applyAlignment="1">
      <alignment horizontal="right" vertical="center" wrapText="1"/>
    </xf>
    <xf numFmtId="14" fontId="38" fillId="7" borderId="0" xfId="0" applyNumberFormat="1" applyFont="1" applyFill="1"/>
    <xf numFmtId="3" fontId="0" fillId="2" borderId="27" xfId="0" applyNumberFormat="1" applyFill="1" applyBorder="1"/>
    <xf numFmtId="3" fontId="0" fillId="2" borderId="28" xfId="0" applyNumberFormat="1" applyFill="1" applyBorder="1"/>
    <xf numFmtId="3" fontId="1" fillId="6" borderId="0" xfId="0" applyNumberFormat="1" applyFont="1" applyFill="1"/>
    <xf numFmtId="0" fontId="12" fillId="2" borderId="9" xfId="0" applyFont="1" applyFill="1" applyBorder="1" applyAlignment="1">
      <alignment horizontal="center" vertical="center" wrapText="1"/>
    </xf>
    <xf numFmtId="0" fontId="1" fillId="2" borderId="9" xfId="0" applyFont="1" applyFill="1" applyBorder="1"/>
    <xf numFmtId="0" fontId="1" fillId="2" borderId="9" xfId="0" applyFont="1" applyFill="1" applyBorder="1" applyAlignment="1">
      <alignment horizontal="center" vertical="center" wrapText="1"/>
    </xf>
    <xf numFmtId="14" fontId="1" fillId="2" borderId="10" xfId="0" applyNumberFormat="1" applyFont="1" applyFill="1" applyBorder="1" applyAlignment="1">
      <alignment horizontal="center"/>
    </xf>
    <xf numFmtId="166" fontId="0" fillId="2" borderId="9" xfId="0" applyNumberFormat="1" applyFill="1" applyBorder="1"/>
    <xf numFmtId="166" fontId="0" fillId="2" borderId="9" xfId="0" applyNumberFormat="1" applyFill="1" applyBorder="1" applyAlignment="1">
      <alignment horizontal="center"/>
    </xf>
    <xf numFmtId="0" fontId="1" fillId="2" borderId="10" xfId="0" applyFont="1" applyFill="1" applyBorder="1"/>
    <xf numFmtId="166" fontId="1" fillId="2" borderId="9" xfId="0" applyNumberFormat="1" applyFont="1" applyFill="1" applyBorder="1"/>
    <xf numFmtId="166" fontId="1" fillId="2" borderId="9" xfId="0" applyNumberFormat="1" applyFont="1" applyFill="1" applyBorder="1" applyAlignment="1">
      <alignment horizontal="center"/>
    </xf>
    <xf numFmtId="0" fontId="0" fillId="2" borderId="9" xfId="0" applyFill="1" applyBorder="1" applyAlignment="1">
      <alignment horizontal="center" vertical="center" wrapText="1"/>
    </xf>
    <xf numFmtId="3" fontId="0" fillId="10" borderId="0" xfId="0" applyNumberFormat="1" applyFill="1"/>
    <xf numFmtId="14" fontId="0" fillId="2" borderId="9" xfId="0" applyNumberFormat="1" applyFill="1" applyBorder="1" applyAlignment="1">
      <alignment horizontal="center" vertical="center" wrapText="1"/>
    </xf>
    <xf numFmtId="166" fontId="0" fillId="2" borderId="9" xfId="0" applyNumberFormat="1" applyFill="1" applyBorder="1" applyAlignment="1">
      <alignment horizontal="center" vertical="center" wrapText="1"/>
    </xf>
    <xf numFmtId="14" fontId="0" fillId="2" borderId="10" xfId="0" applyNumberFormat="1" applyFill="1" applyBorder="1" applyAlignment="1">
      <alignment horizontal="center"/>
    </xf>
    <xf numFmtId="166" fontId="12" fillId="2" borderId="9" xfId="0" applyNumberFormat="1" applyFont="1" applyFill="1" applyBorder="1" applyAlignment="1">
      <alignment horizontal="center"/>
    </xf>
    <xf numFmtId="14" fontId="1" fillId="2" borderId="9" xfId="0" applyNumberFormat="1" applyFont="1" applyFill="1" applyBorder="1" applyAlignment="1">
      <alignment horizontal="center" vertical="center" wrapText="1"/>
    </xf>
    <xf numFmtId="0" fontId="1" fillId="2" borderId="10" xfId="0" applyFont="1" applyFill="1" applyBorder="1" applyAlignment="1">
      <alignment horizontal="left"/>
    </xf>
    <xf numFmtId="166" fontId="1" fillId="2" borderId="9" xfId="0" applyNumberFormat="1" applyFont="1" applyFill="1" applyBorder="1" applyAlignment="1">
      <alignment horizontal="center" vertical="center"/>
    </xf>
    <xf numFmtId="0" fontId="1" fillId="2" borderId="3" xfId="0" applyFont="1" applyFill="1" applyBorder="1" applyAlignment="1">
      <alignment horizontal="center"/>
    </xf>
    <xf numFmtId="14" fontId="1" fillId="2" borderId="9" xfId="0" applyNumberFormat="1" applyFont="1" applyFill="1" applyBorder="1" applyAlignment="1">
      <alignment horizontal="center"/>
    </xf>
    <xf numFmtId="0" fontId="12" fillId="2" borderId="9" xfId="0" applyFont="1" applyFill="1" applyBorder="1" applyAlignment="1">
      <alignment horizontal="left"/>
    </xf>
    <xf numFmtId="0" fontId="12" fillId="2" borderId="10" xfId="0" applyFont="1" applyFill="1" applyBorder="1" applyAlignment="1">
      <alignment horizontal="left"/>
    </xf>
    <xf numFmtId="0" fontId="12" fillId="2" borderId="10" xfId="0" applyFont="1" applyFill="1" applyBorder="1"/>
    <xf numFmtId="0" fontId="0" fillId="2" borderId="3" xfId="0" applyFill="1" applyBorder="1" applyAlignment="1">
      <alignment horizontal="center"/>
    </xf>
    <xf numFmtId="0" fontId="1" fillId="2" borderId="11" xfId="0" applyFont="1" applyFill="1" applyBorder="1" applyAlignment="1">
      <alignment horizontal="center"/>
    </xf>
    <xf numFmtId="0" fontId="12" fillId="2" borderId="11" xfId="0" applyFont="1" applyFill="1" applyBorder="1" applyAlignment="1">
      <alignment horizontal="center"/>
    </xf>
    <xf numFmtId="0" fontId="1" fillId="2" borderId="9" xfId="0" applyFont="1" applyFill="1" applyBorder="1" applyAlignment="1">
      <alignment horizontal="center"/>
    </xf>
    <xf numFmtId="168" fontId="1" fillId="2" borderId="9" xfId="1" applyNumberFormat="1" applyFont="1" applyFill="1" applyBorder="1" applyAlignment="1">
      <alignment horizontal="center"/>
    </xf>
    <xf numFmtId="168" fontId="1" fillId="2" borderId="9" xfId="1" applyNumberFormat="1" applyFont="1" applyFill="1" applyBorder="1"/>
    <xf numFmtId="0" fontId="12" fillId="2" borderId="0" xfId="0" applyFont="1" applyFill="1" applyAlignment="1">
      <alignment horizontal="center"/>
    </xf>
    <xf numFmtId="168" fontId="12" fillId="2" borderId="9" xfId="1" applyNumberFormat="1" applyFont="1" applyFill="1" applyBorder="1" applyAlignment="1">
      <alignment horizontal="center"/>
    </xf>
    <xf numFmtId="168" fontId="12" fillId="2" borderId="9" xfId="1" applyNumberFormat="1" applyFont="1" applyFill="1" applyBorder="1"/>
    <xf numFmtId="0" fontId="1" fillId="2" borderId="10" xfId="0" applyFont="1" applyFill="1" applyBorder="1" applyAlignment="1">
      <alignment horizontal="center"/>
    </xf>
    <xf numFmtId="0" fontId="12" fillId="12" borderId="9" xfId="0" applyFont="1" applyFill="1" applyBorder="1"/>
    <xf numFmtId="0" fontId="54" fillId="0" borderId="0" xfId="0" applyFont="1" applyAlignment="1">
      <alignment vertical="center"/>
    </xf>
    <xf numFmtId="3" fontId="13" fillId="2" borderId="9" xfId="0" applyNumberFormat="1" applyFont="1" applyFill="1" applyBorder="1"/>
    <xf numFmtId="0" fontId="12" fillId="2" borderId="3" xfId="0" applyFont="1" applyFill="1" applyBorder="1" applyAlignment="1">
      <alignment horizontal="center"/>
    </xf>
    <xf numFmtId="0" fontId="12" fillId="15" borderId="9" xfId="0" applyFont="1" applyFill="1" applyBorder="1"/>
    <xf numFmtId="0" fontId="12" fillId="15" borderId="9" xfId="0" applyFont="1" applyFill="1" applyBorder="1" applyAlignment="1">
      <alignment horizontal="center"/>
    </xf>
    <xf numFmtId="168" fontId="12" fillId="15" borderId="9" xfId="1" applyNumberFormat="1" applyFont="1" applyFill="1" applyBorder="1" applyAlignment="1">
      <alignment horizontal="center"/>
    </xf>
    <xf numFmtId="3" fontId="0" fillId="2" borderId="9" xfId="0" applyNumberFormat="1" applyFill="1" applyBorder="1" applyAlignment="1">
      <alignment horizontal="left"/>
    </xf>
    <xf numFmtId="3" fontId="0" fillId="2" borderId="10" xfId="0" applyNumberFormat="1" applyFill="1" applyBorder="1" applyAlignment="1">
      <alignment horizontal="left" vertical="center"/>
    </xf>
    <xf numFmtId="3" fontId="0" fillId="2" borderId="9" xfId="0" applyNumberFormat="1" applyFill="1" applyBorder="1" applyAlignment="1">
      <alignment horizontal="left" vertical="center"/>
    </xf>
    <xf numFmtId="3" fontId="0" fillId="15" borderId="9" xfId="0" applyNumberFormat="1" applyFill="1" applyBorder="1" applyAlignment="1">
      <alignment horizontal="left" vertical="center"/>
    </xf>
    <xf numFmtId="3" fontId="1" fillId="2" borderId="9" xfId="0" applyNumberFormat="1" applyFont="1" applyFill="1" applyBorder="1" applyAlignment="1">
      <alignment horizontal="left" vertical="center"/>
    </xf>
    <xf numFmtId="0" fontId="12" fillId="14" borderId="11" xfId="0" applyFont="1" applyFill="1" applyBorder="1"/>
    <xf numFmtId="0" fontId="12" fillId="14" borderId="9" xfId="0" applyFont="1" applyFill="1" applyBorder="1"/>
    <xf numFmtId="0" fontId="0" fillId="13" borderId="9" xfId="0" applyFill="1" applyBorder="1" applyAlignment="1">
      <alignment horizontal="left"/>
    </xf>
    <xf numFmtId="0" fontId="12" fillId="13" borderId="11" xfId="0" applyFont="1" applyFill="1" applyBorder="1"/>
    <xf numFmtId="0" fontId="0" fillId="13" borderId="9" xfId="0" applyFill="1" applyBorder="1"/>
    <xf numFmtId="0" fontId="0" fillId="13" borderId="9" xfId="0" applyFill="1" applyBorder="1" applyAlignment="1">
      <alignment horizontal="center"/>
    </xf>
    <xf numFmtId="166" fontId="0" fillId="13" borderId="9" xfId="0" applyNumberFormat="1" applyFill="1" applyBorder="1" applyAlignment="1">
      <alignment horizontal="center"/>
    </xf>
    <xf numFmtId="14" fontId="0" fillId="13" borderId="9" xfId="0" applyNumberFormat="1" applyFill="1" applyBorder="1" applyAlignment="1">
      <alignment horizontal="center" vertical="center" wrapText="1"/>
    </xf>
    <xf numFmtId="14" fontId="0" fillId="13" borderId="9" xfId="0" applyNumberFormat="1" applyFill="1" applyBorder="1" applyAlignment="1">
      <alignment horizontal="center"/>
    </xf>
    <xf numFmtId="0" fontId="12" fillId="13" borderId="11" xfId="0" applyFont="1" applyFill="1" applyBorder="1" applyAlignment="1">
      <alignment horizontal="center"/>
    </xf>
    <xf numFmtId="14" fontId="0" fillId="13" borderId="10" xfId="0" applyNumberFormat="1" applyFill="1" applyBorder="1" applyAlignment="1">
      <alignment horizontal="center"/>
    </xf>
    <xf numFmtId="0" fontId="0" fillId="13" borderId="0" xfId="0" applyFill="1"/>
    <xf numFmtId="0" fontId="12" fillId="13" borderId="9" xfId="0" applyFont="1" applyFill="1" applyBorder="1"/>
    <xf numFmtId="3" fontId="12" fillId="13" borderId="9" xfId="0" applyNumberFormat="1" applyFont="1" applyFill="1" applyBorder="1"/>
    <xf numFmtId="3" fontId="0" fillId="13" borderId="0" xfId="0" applyNumberFormat="1" applyFill="1"/>
    <xf numFmtId="3" fontId="0" fillId="13" borderId="9" xfId="0" applyNumberFormat="1" applyFill="1" applyBorder="1" applyAlignment="1">
      <alignment horizontal="left"/>
    </xf>
    <xf numFmtId="0" fontId="0" fillId="13" borderId="10" xfId="0" applyFill="1" applyBorder="1" applyAlignment="1">
      <alignment horizontal="center"/>
    </xf>
    <xf numFmtId="0" fontId="0" fillId="12" borderId="9" xfId="0" applyFill="1" applyBorder="1" applyAlignment="1">
      <alignment horizontal="left"/>
    </xf>
    <xf numFmtId="0" fontId="12" fillId="12" borderId="11" xfId="0" applyFont="1" applyFill="1" applyBorder="1"/>
    <xf numFmtId="0" fontId="12" fillId="12" borderId="10" xfId="0" applyFont="1" applyFill="1" applyBorder="1"/>
    <xf numFmtId="0" fontId="0" fillId="12" borderId="3" xfId="0" applyFill="1" applyBorder="1" applyAlignment="1">
      <alignment horizontal="center"/>
    </xf>
    <xf numFmtId="166" fontId="12" fillId="12" borderId="9" xfId="0" applyNumberFormat="1" applyFont="1" applyFill="1" applyBorder="1" applyAlignment="1">
      <alignment horizontal="center"/>
    </xf>
    <xf numFmtId="166" fontId="0" fillId="12" borderId="9" xfId="0" applyNumberFormat="1" applyFill="1" applyBorder="1" applyAlignment="1">
      <alignment horizontal="center"/>
    </xf>
    <xf numFmtId="0" fontId="0" fillId="12" borderId="10" xfId="0" applyFill="1" applyBorder="1" applyAlignment="1">
      <alignment horizontal="left"/>
    </xf>
    <xf numFmtId="0" fontId="0" fillId="12" borderId="9" xfId="0" applyFill="1" applyBorder="1"/>
    <xf numFmtId="0" fontId="0" fillId="12" borderId="9" xfId="0" applyFill="1" applyBorder="1" applyAlignment="1">
      <alignment horizontal="center"/>
    </xf>
    <xf numFmtId="168" fontId="0" fillId="12" borderId="9" xfId="1" applyNumberFormat="1" applyFont="1" applyFill="1" applyBorder="1" applyAlignment="1">
      <alignment horizontal="left"/>
    </xf>
    <xf numFmtId="3" fontId="0" fillId="12" borderId="0" xfId="0" applyNumberFormat="1" applyFill="1"/>
    <xf numFmtId="3" fontId="0" fillId="12" borderId="9" xfId="0" applyNumberFormat="1" applyFill="1" applyBorder="1" applyAlignment="1">
      <alignment horizontal="left"/>
    </xf>
    <xf numFmtId="0" fontId="12" fillId="12" borderId="9" xfId="0" applyFont="1" applyFill="1" applyBorder="1" applyAlignment="1">
      <alignment horizontal="center"/>
    </xf>
    <xf numFmtId="168" fontId="12" fillId="12" borderId="9" xfId="1" applyNumberFormat="1" applyFont="1" applyFill="1" applyBorder="1"/>
    <xf numFmtId="168" fontId="12" fillId="12" borderId="9" xfId="1" applyNumberFormat="1" applyFont="1" applyFill="1" applyBorder="1" applyAlignment="1">
      <alignment horizontal="center"/>
    </xf>
    <xf numFmtId="0" fontId="0" fillId="12" borderId="0" xfId="0" applyFill="1"/>
    <xf numFmtId="3" fontId="12" fillId="12" borderId="9" xfId="0" applyNumberFormat="1" applyFont="1" applyFill="1" applyBorder="1"/>
    <xf numFmtId="0" fontId="0" fillId="16" borderId="9" xfId="0" applyFill="1" applyBorder="1" applyAlignment="1">
      <alignment horizontal="left"/>
    </xf>
    <xf numFmtId="0" fontId="12" fillId="16" borderId="11" xfId="0" applyFont="1" applyFill="1" applyBorder="1"/>
    <xf numFmtId="0" fontId="12" fillId="16" borderId="9" xfId="0" applyFont="1" applyFill="1" applyBorder="1" applyAlignment="1">
      <alignment horizontal="left"/>
    </xf>
    <xf numFmtId="0" fontId="12" fillId="16" borderId="3" xfId="0" applyFont="1" applyFill="1" applyBorder="1" applyAlignment="1">
      <alignment horizontal="center"/>
    </xf>
    <xf numFmtId="166" fontId="12" fillId="16" borderId="9" xfId="0" applyNumberFormat="1" applyFont="1" applyFill="1" applyBorder="1" applyAlignment="1">
      <alignment horizontal="center"/>
    </xf>
    <xf numFmtId="0" fontId="12" fillId="16" borderId="9" xfId="0" applyFont="1" applyFill="1" applyBorder="1" applyAlignment="1">
      <alignment horizontal="center" vertical="center" wrapText="1"/>
    </xf>
    <xf numFmtId="0" fontId="12" fillId="16" borderId="9" xfId="0" applyFont="1" applyFill="1" applyBorder="1"/>
    <xf numFmtId="0" fontId="12" fillId="16" borderId="9" xfId="0" applyFont="1" applyFill="1" applyBorder="1" applyAlignment="1">
      <alignment horizontal="center"/>
    </xf>
    <xf numFmtId="168" fontId="12" fillId="16" borderId="9" xfId="1" applyNumberFormat="1" applyFont="1" applyFill="1" applyBorder="1"/>
    <xf numFmtId="3" fontId="0" fillId="16" borderId="0" xfId="0" applyNumberFormat="1" applyFill="1"/>
    <xf numFmtId="3" fontId="0" fillId="16" borderId="9" xfId="0" applyNumberFormat="1" applyFill="1" applyBorder="1" applyAlignment="1">
      <alignment horizontal="left"/>
    </xf>
    <xf numFmtId="0" fontId="0" fillId="14" borderId="9" xfId="0" applyFill="1" applyBorder="1" applyAlignment="1">
      <alignment horizontal="left"/>
    </xf>
    <xf numFmtId="0" fontId="12" fillId="14" borderId="3" xfId="0" applyFont="1" applyFill="1" applyBorder="1" applyAlignment="1">
      <alignment horizontal="center"/>
    </xf>
    <xf numFmtId="166" fontId="12" fillId="14" borderId="10" xfId="0" applyNumberFormat="1" applyFont="1" applyFill="1" applyBorder="1" applyAlignment="1">
      <alignment horizontal="center"/>
    </xf>
    <xf numFmtId="0" fontId="12" fillId="14" borderId="9" xfId="0" applyFont="1" applyFill="1" applyBorder="1" applyAlignment="1">
      <alignment horizontal="center" vertical="center" wrapText="1"/>
    </xf>
    <xf numFmtId="0" fontId="12" fillId="14" borderId="11" xfId="0" applyFont="1" applyFill="1" applyBorder="1" applyAlignment="1">
      <alignment horizontal="center"/>
    </xf>
    <xf numFmtId="0" fontId="12" fillId="14" borderId="9" xfId="0" applyFont="1" applyFill="1" applyBorder="1" applyAlignment="1">
      <alignment horizontal="center"/>
    </xf>
    <xf numFmtId="168" fontId="12" fillId="14" borderId="9" xfId="1" applyNumberFormat="1" applyFont="1" applyFill="1" applyBorder="1"/>
    <xf numFmtId="168" fontId="12" fillId="14" borderId="9" xfId="1" applyNumberFormat="1" applyFont="1" applyFill="1" applyBorder="1" applyAlignment="1">
      <alignment horizontal="center"/>
    </xf>
    <xf numFmtId="3" fontId="12" fillId="14" borderId="9" xfId="0" applyNumberFormat="1" applyFont="1" applyFill="1" applyBorder="1"/>
    <xf numFmtId="166" fontId="12" fillId="14" borderId="9" xfId="0" applyNumberFormat="1" applyFont="1" applyFill="1" applyBorder="1" applyAlignment="1">
      <alignment horizontal="center"/>
    </xf>
    <xf numFmtId="0" fontId="12" fillId="14" borderId="9" xfId="0" applyFont="1" applyFill="1" applyBorder="1" applyAlignment="1">
      <alignment horizontal="left"/>
    </xf>
    <xf numFmtId="0" fontId="15" fillId="0" borderId="0" xfId="0" applyFont="1" applyAlignment="1">
      <alignment horizontal="center"/>
    </xf>
    <xf numFmtId="0" fontId="12" fillId="5" borderId="0" xfId="0" applyFont="1" applyFill="1" applyAlignment="1">
      <alignment horizontal="center"/>
    </xf>
    <xf numFmtId="0" fontId="0" fillId="0" borderId="9" xfId="0" applyBorder="1" applyAlignment="1">
      <alignment horizontal="left"/>
    </xf>
    <xf numFmtId="0" fontId="0" fillId="5" borderId="9" xfId="0" applyFill="1" applyBorder="1" applyAlignment="1">
      <alignment horizontal="left"/>
    </xf>
    <xf numFmtId="0" fontId="12" fillId="11" borderId="9" xfId="0" applyFont="1" applyFill="1" applyBorder="1" applyAlignment="1">
      <alignment horizontal="left"/>
    </xf>
    <xf numFmtId="0" fontId="12" fillId="0" borderId="9" xfId="0" applyFont="1" applyBorder="1" applyAlignment="1">
      <alignment horizontal="left"/>
    </xf>
    <xf numFmtId="0" fontId="12" fillId="2" borderId="11" xfId="0" applyFont="1" applyFill="1" applyBorder="1" applyAlignment="1">
      <alignment horizontal="left"/>
    </xf>
    <xf numFmtId="0" fontId="12" fillId="2" borderId="12" xfId="0" applyFont="1" applyFill="1" applyBorder="1" applyAlignment="1">
      <alignment horizontal="left"/>
    </xf>
    <xf numFmtId="0" fontId="12" fillId="5" borderId="9" xfId="0" applyFont="1" applyFill="1" applyBorder="1" applyAlignment="1">
      <alignment horizontal="left"/>
    </xf>
    <xf numFmtId="0" fontId="0" fillId="5" borderId="11" xfId="0" applyFill="1" applyBorder="1" applyAlignment="1">
      <alignment horizontal="left"/>
    </xf>
    <xf numFmtId="0" fontId="0" fillId="5" borderId="12" xfId="0" applyFill="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11" borderId="9" xfId="0" applyFill="1" applyBorder="1" applyAlignment="1">
      <alignment horizontal="left"/>
    </xf>
    <xf numFmtId="0" fontId="0" fillId="5" borderId="0" xfId="0" applyFill="1" applyAlignment="1">
      <alignment horizontal="center"/>
    </xf>
    <xf numFmtId="0" fontId="0" fillId="4" borderId="11" xfId="0" applyFill="1" applyBorder="1" applyAlignment="1">
      <alignment horizontal="center"/>
    </xf>
    <xf numFmtId="0" fontId="0" fillId="4" borderId="14" xfId="0" applyFill="1" applyBorder="1" applyAlignment="1">
      <alignment horizontal="center"/>
    </xf>
    <xf numFmtId="0" fontId="0" fillId="4" borderId="12" xfId="0" applyFill="1" applyBorder="1" applyAlignment="1">
      <alignment horizontal="center"/>
    </xf>
    <xf numFmtId="3" fontId="4" fillId="0" borderId="15" xfId="0" applyNumberFormat="1" applyFont="1" applyBorder="1" applyAlignment="1">
      <alignment horizontal="center"/>
    </xf>
    <xf numFmtId="0" fontId="0" fillId="0" borderId="2" xfId="0" applyBorder="1" applyAlignment="1">
      <alignment horizontal="left"/>
    </xf>
    <xf numFmtId="0" fontId="0" fillId="0" borderId="7"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2"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4" xfId="0" applyBorder="1" applyAlignment="1">
      <alignment horizontal="left"/>
    </xf>
    <xf numFmtId="0" fontId="0" fillId="0" borderId="6" xfId="0" applyBorder="1" applyAlignment="1">
      <alignment horizontal="left"/>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0" borderId="0" xfId="0"/>
    <xf numFmtId="0" fontId="18" fillId="0" borderId="0" xfId="0" applyFont="1" applyAlignment="1">
      <alignment horizontal="left"/>
    </xf>
    <xf numFmtId="14" fontId="23" fillId="0" borderId="0" xfId="0" applyNumberFormat="1" applyFont="1" applyAlignment="1">
      <alignment horizontal="center"/>
    </xf>
    <xf numFmtId="0" fontId="24" fillId="0" borderId="0" xfId="0" applyFont="1" applyAlignment="1">
      <alignment horizontal="center"/>
    </xf>
    <xf numFmtId="14" fontId="0" fillId="0" borderId="0" xfId="0" applyNumberFormat="1" applyAlignment="1">
      <alignment horizontal="center"/>
    </xf>
    <xf numFmtId="14" fontId="4" fillId="0" borderId="1" xfId="0" applyNumberFormat="1" applyFont="1" applyBorder="1" applyAlignment="1">
      <alignment horizontal="center"/>
    </xf>
  </cellXfs>
  <cellStyles count="2">
    <cellStyle name="Normal" xfId="0" builtinId="0"/>
    <cellStyle name="Tusental" xfId="1" builtinId="3"/>
  </cellStyles>
  <dxfs count="24">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s>
  <tableStyles count="0" defaultTableStyle="TableStyleMedium2" defaultPivotStyle="PivotStyleLight16"/>
  <colors>
    <mruColors>
      <color rgb="FFFFCCFF"/>
      <color rgb="FFCCFFCC"/>
      <color rgb="FFCCE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817563</xdr:colOff>
      <xdr:row>6</xdr:row>
      <xdr:rowOff>158748</xdr:rowOff>
    </xdr:from>
    <xdr:to>
      <xdr:col>11</xdr:col>
      <xdr:colOff>363540</xdr:colOff>
      <xdr:row>23</xdr:row>
      <xdr:rowOff>111125</xdr:rowOff>
    </xdr:to>
    <xdr:sp macro="" textlink="">
      <xdr:nvSpPr>
        <xdr:cNvPr id="2" name="textruta 1">
          <a:extLst>
            <a:ext uri="{FF2B5EF4-FFF2-40B4-BE49-F238E27FC236}">
              <a16:creationId xmlns:a16="http://schemas.microsoft.com/office/drawing/2014/main" id="{9ABB7016-FFE4-C0DB-9523-C1F34770B679}"/>
            </a:ext>
          </a:extLst>
        </xdr:cNvPr>
        <xdr:cNvSpPr txBox="1"/>
      </xdr:nvSpPr>
      <xdr:spPr>
        <a:xfrm>
          <a:off x="5524501" y="1301748"/>
          <a:ext cx="10293352" cy="319087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Detta rapportpaket avser</a:t>
          </a:r>
          <a:r>
            <a:rPr lang="sv-SE" sz="1100" baseline="0"/>
            <a:t> att förse koncernekonom och årsredovisningsansvarig med</a:t>
          </a:r>
        </a:p>
        <a:p>
          <a:r>
            <a:rPr lang="sv-SE" sz="1100" baseline="0"/>
            <a:t>kompletterande uppgifter till:</a:t>
          </a:r>
        </a:p>
        <a:p>
          <a:endParaRPr lang="sv-SE" sz="1100" baseline="0"/>
        </a:p>
        <a:p>
          <a:r>
            <a:rPr lang="sv-SE" sz="1100" baseline="0"/>
            <a:t>- Utökade upplysningar till koncernens årsredovisning.</a:t>
          </a:r>
        </a:p>
        <a:p>
          <a:pPr marL="0" marR="0" lvl="0" indent="0" defTabSz="914400" eaLnBrk="1" fontAlgn="auto" latinLnBrk="0" hangingPunct="1">
            <a:lnSpc>
              <a:spcPct val="100000"/>
            </a:lnSpc>
            <a:spcBef>
              <a:spcPts val="0"/>
            </a:spcBef>
            <a:spcAft>
              <a:spcPts val="0"/>
            </a:spcAft>
            <a:buClrTx/>
            <a:buSzTx/>
            <a:buFontTx/>
            <a:buNone/>
            <a:tabLst/>
            <a:defRPr/>
          </a:pPr>
          <a:r>
            <a:rPr lang="sv-SE" sz="1100" baseline="0">
              <a:solidFill>
                <a:schemeClr val="dk1"/>
              </a:solidFill>
              <a:effectLst/>
              <a:latin typeface="+mn-lt"/>
              <a:ea typeface="+mn-ea"/>
              <a:cs typeface="+mn-cs"/>
            </a:rPr>
            <a:t>- Delvis information till Inhouse bolagens årsredovisningar (där Accantor avtalats upprättar årsredovisningen). </a:t>
          </a:r>
          <a:endParaRPr lang="sv-SE" sz="1100" baseline="0"/>
        </a:p>
        <a:p>
          <a:endParaRPr lang="sv-SE" sz="1100" baseline="0"/>
        </a:p>
        <a:p>
          <a:r>
            <a:rPr lang="sv-SE" sz="1100" baseline="0"/>
            <a:t>Observera att detta rapportpaket kan innehålla mer information än vad som krävas för den egna årsredovisningen för ert bolag, det beror på att koncernen behöver dessa uppgifter till sin årsrapport. </a:t>
          </a:r>
          <a:r>
            <a:rPr lang="sv-SE" sz="1100" u="sng" baseline="0"/>
            <a:t>Likaså saknas vissa notupplysningar </a:t>
          </a:r>
          <a:r>
            <a:rPr lang="sv-SE" sz="1100" baseline="0"/>
            <a:t>vilket beror på att det är uppgifter koncernekonomi kan få ut på egen hand. </a:t>
          </a:r>
        </a:p>
        <a:p>
          <a:endParaRPr lang="sv-SE" sz="1100" baseline="0"/>
        </a:p>
        <a:p>
          <a:r>
            <a:rPr lang="sv-SE" sz="1100" baseline="0"/>
            <a:t>Ovan anges vilket bolag detta rapportpaket avser. När man väljer bolag så anges vilken period uppgifterna skall avse (dvs ett nyförvärvat bolag kommer inte fylla i 12 månaders resultatuppgifter).</a:t>
          </a:r>
        </a:p>
        <a:p>
          <a:endParaRPr lang="sv-SE" sz="1100" baseline="0"/>
        </a:p>
        <a:p>
          <a:r>
            <a:rPr lang="sv-SE" sz="1100" baseline="0"/>
            <a:t>I varje flik anges celler i </a:t>
          </a:r>
          <a:r>
            <a:rPr lang="sv-SE" sz="1100" baseline="0">
              <a:solidFill>
                <a:srgbClr val="00B050"/>
              </a:solidFill>
            </a:rPr>
            <a:t>grönt</a:t>
          </a:r>
          <a:r>
            <a:rPr lang="sv-SE" sz="1100" baseline="0"/>
            <a:t> som önskas fyllas i. Varje flik har en informationsruta.</a:t>
          </a:r>
        </a:p>
        <a:p>
          <a:endParaRPr lang="sv-SE" sz="1100" baseline="0"/>
        </a:p>
        <a:p>
          <a:r>
            <a:rPr lang="sv-SE" sz="1100" baseline="0"/>
            <a:t>Beloppen anges i </a:t>
          </a:r>
          <a:r>
            <a:rPr lang="sv-SE" sz="1100" b="0" baseline="0"/>
            <a:t>nationell</a:t>
          </a:r>
          <a:r>
            <a:rPr lang="sv-SE" sz="1100" baseline="0"/>
            <a:t> redovisningsvaluta och i heltal. </a:t>
          </a:r>
        </a:p>
        <a:p>
          <a:endParaRPr lang="sv-SE" sz="1100" baseline="0"/>
        </a:p>
        <a:p>
          <a:r>
            <a:rPr lang="sv-SE" sz="1100" baseline="0"/>
            <a:t>&lt;---- Fyll i checklistan över vilka noter som är ifyllda (Vissa notuppgifter berör inte alla).</a:t>
          </a:r>
        </a:p>
        <a:p>
          <a:endParaRPr lang="sv-SE" sz="1100" baseline="0"/>
        </a:p>
        <a:p>
          <a:endParaRPr lang="sv-SE" sz="1100" baseline="0"/>
        </a:p>
        <a:p>
          <a:endParaRPr lang="sv-SE" sz="1100" baseline="0"/>
        </a:p>
      </xdr:txBody>
    </xdr:sp>
    <xdr:clientData/>
  </xdr:twoCellAnchor>
  <xdr:twoCellAnchor>
    <xdr:from>
      <xdr:col>4</xdr:col>
      <xdr:colOff>801687</xdr:colOff>
      <xdr:row>25</xdr:row>
      <xdr:rowOff>55563</xdr:rowOff>
    </xdr:from>
    <xdr:to>
      <xdr:col>6</xdr:col>
      <xdr:colOff>261938</xdr:colOff>
      <xdr:row>27</xdr:row>
      <xdr:rowOff>127000</xdr:rowOff>
    </xdr:to>
    <xdr:sp macro="" textlink="">
      <xdr:nvSpPr>
        <xdr:cNvPr id="3" name="textruta 2">
          <a:extLst>
            <a:ext uri="{FF2B5EF4-FFF2-40B4-BE49-F238E27FC236}">
              <a16:creationId xmlns:a16="http://schemas.microsoft.com/office/drawing/2014/main" id="{F086EB8D-8BB8-E0C1-AED5-AA7B9B44B351}"/>
            </a:ext>
          </a:extLst>
        </xdr:cNvPr>
        <xdr:cNvSpPr txBox="1"/>
      </xdr:nvSpPr>
      <xdr:spPr>
        <a:xfrm>
          <a:off x="5508625" y="4627563"/>
          <a:ext cx="2532063" cy="45243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kern="1200"/>
            <a:t>Mörkgrå flikar innebär att förtydliganden</a:t>
          </a:r>
          <a:r>
            <a:rPr lang="sv-SE" sz="1100" kern="1200" baseline="0"/>
            <a:t> elle tillägg gjorts.</a:t>
          </a:r>
          <a:endParaRPr lang="sv-SE"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95249</xdr:rowOff>
    </xdr:from>
    <xdr:to>
      <xdr:col>13</xdr:col>
      <xdr:colOff>495300</xdr:colOff>
      <xdr:row>24</xdr:row>
      <xdr:rowOff>9525</xdr:rowOff>
    </xdr:to>
    <xdr:sp macro="" textlink="">
      <xdr:nvSpPr>
        <xdr:cNvPr id="2" name="textruta 1">
          <a:extLst>
            <a:ext uri="{FF2B5EF4-FFF2-40B4-BE49-F238E27FC236}">
              <a16:creationId xmlns:a16="http://schemas.microsoft.com/office/drawing/2014/main" id="{97FCDAF7-D83A-4533-BB56-A73FFED9F471}"/>
            </a:ext>
          </a:extLst>
        </xdr:cNvPr>
        <xdr:cNvSpPr txBox="1"/>
      </xdr:nvSpPr>
      <xdr:spPr>
        <a:xfrm>
          <a:off x="9401175" y="676274"/>
          <a:ext cx="4762500" cy="393382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Här</a:t>
          </a:r>
          <a:r>
            <a:rPr lang="sv-SE" sz="1100" baseline="0"/>
            <a:t> anges enbart </a:t>
          </a:r>
          <a:r>
            <a:rPr lang="sv-SE" sz="1100" u="sng" baseline="0"/>
            <a:t>nettoomsättningen</a:t>
          </a:r>
          <a:r>
            <a:rPr lang="sv-SE" sz="1100" baseline="0"/>
            <a:t> från den slutliga resultaträkningen för bolaget, fördelat på </a:t>
          </a:r>
          <a:r>
            <a:rPr lang="sv-SE" sz="1100" u="none" baseline="0"/>
            <a:t>konsulttjänster</a:t>
          </a:r>
          <a:r>
            <a:rPr lang="sv-SE" sz="1100" baseline="0"/>
            <a:t> och </a:t>
          </a:r>
          <a:r>
            <a:rPr lang="sv-SE" sz="1100" u="none" baseline="0"/>
            <a:t>övrig</a:t>
          </a:r>
          <a:r>
            <a:rPr lang="sv-SE" sz="1100" u="sng" baseline="0"/>
            <a:t> </a:t>
          </a:r>
          <a:r>
            <a:rPr lang="sv-SE" sz="1100" u="none" baseline="0"/>
            <a:t>nettoomsättning</a:t>
          </a:r>
          <a:r>
            <a:rPr lang="sv-SE" sz="1100" baseline="0"/>
            <a:t>. Därefter specat </a:t>
          </a:r>
          <a:r>
            <a:rPr lang="sv-SE" sz="1100" baseline="0">
              <a:solidFill>
                <a:sysClr val="windowText" lastClr="000000"/>
              </a:solidFill>
            </a:rPr>
            <a:t>nettoomsättningen upp efter geografisk marknad i bolagets redovisningsvaluta. </a:t>
          </a:r>
        </a:p>
        <a:p>
          <a:endParaRPr lang="sv-SE" sz="1100" baseline="0">
            <a:solidFill>
              <a:sysClr val="windowText" lastClr="000000"/>
            </a:solidFill>
          </a:endParaRPr>
        </a:p>
        <a:p>
          <a:r>
            <a:rPr lang="sv-SE" sz="1100">
              <a:solidFill>
                <a:sysClr val="windowText" lastClr="000000"/>
              </a:solidFill>
            </a:rPr>
            <a:t>Nettoomsättning är del av bolagets totala</a:t>
          </a:r>
          <a:r>
            <a:rPr lang="sv-SE" sz="1100" baseline="0">
              <a:solidFill>
                <a:sysClr val="windowText" lastClr="000000"/>
              </a:solidFill>
            </a:rPr>
            <a:t> intäkter och mostvarar vanligtvis konton i klass </a:t>
          </a:r>
          <a:r>
            <a:rPr lang="sv-SE" sz="1100" b="1" baseline="0">
              <a:solidFill>
                <a:sysClr val="windowText" lastClr="000000"/>
              </a:solidFill>
            </a:rPr>
            <a:t>3000-3799</a:t>
          </a:r>
          <a:r>
            <a:rPr lang="sv-SE" sz="1100" baseline="0">
              <a:solidFill>
                <a:sysClr val="windowText" lastClr="000000"/>
              </a:solidFill>
            </a:rPr>
            <a:t>. </a:t>
          </a:r>
          <a:r>
            <a:rPr kumimoji="0" lang="sv-SE" sz="1100" b="0" i="0" u="none" strike="noStrike" kern="0" cap="none" spc="0" normalizeH="0" baseline="0" noProof="0">
              <a:ln>
                <a:noFill/>
              </a:ln>
              <a:solidFill>
                <a:sysClr val="windowText" lastClr="000000"/>
              </a:solidFill>
              <a:effectLst/>
              <a:uLnTx/>
              <a:uFillTx/>
              <a:latin typeface="+mn-lt"/>
              <a:ea typeface="+mn-ea"/>
              <a:cs typeface="+mn-cs"/>
            </a:rPr>
            <a:t>Både externa och interna kunder.</a:t>
          </a:r>
        </a:p>
        <a:p>
          <a:r>
            <a:rPr kumimoji="0" lang="sv-SE" sz="1100" b="0" i="0" u="none" strike="noStrike" kern="0" cap="none" spc="0" normalizeH="0" baseline="0" noProof="0">
              <a:ln>
                <a:noFill/>
              </a:ln>
              <a:solidFill>
                <a:srgbClr val="C00000"/>
              </a:solidFill>
              <a:effectLst/>
              <a:uLnTx/>
              <a:uFillTx/>
              <a:latin typeface="+mn-lt"/>
              <a:ea typeface="+mn-ea"/>
              <a:cs typeface="+mn-cs"/>
            </a:rPr>
            <a:t>Exkluderat med konto 3560 (vidarefak kostnader), 3681 och 3687 (interntid). Dessa konton ska ligga under Övriga rörelseintäkter.</a:t>
          </a:r>
        </a:p>
        <a:p>
          <a:endParaRPr kumimoji="0" lang="sv-SE" sz="1100" b="0" i="0" u="none" strike="noStrike" kern="0" cap="none" spc="0" normalizeH="0" baseline="0" noProof="0">
            <a:ln>
              <a:noFill/>
            </a:ln>
            <a:solidFill>
              <a:sysClr val="windowText" lastClr="000000"/>
            </a:solidFill>
            <a:effectLst/>
            <a:uLnTx/>
            <a:uFillTx/>
            <a:latin typeface="+mn-lt"/>
            <a:ea typeface="+mn-ea"/>
            <a:cs typeface="+mn-cs"/>
          </a:endParaRPr>
        </a:p>
        <a:p>
          <a:r>
            <a:rPr kumimoji="0" lang="sv-SE" sz="1100" b="0" i="0" u="none" strike="noStrike" kern="0" cap="none" spc="0" normalizeH="0" baseline="0" noProof="0">
              <a:ln>
                <a:noFill/>
              </a:ln>
              <a:solidFill>
                <a:sysClr val="windowText" lastClr="000000"/>
              </a:solidFill>
              <a:effectLst/>
              <a:uLnTx/>
              <a:uFillTx/>
              <a:latin typeface="+mn-lt"/>
              <a:ea typeface="+mn-ea"/>
              <a:cs typeface="+mn-cs"/>
            </a:rPr>
            <a:t>Fakturering av internhyra ska ligga med i Nettomsättning, övrig (Utifrån att det tillhör AB Omegapoints verksamhetsbeskrivning.</a:t>
          </a:r>
          <a:endParaRPr lang="sv-SE" sz="1100" baseline="0">
            <a:solidFill>
              <a:sysClr val="windowText" lastClr="000000"/>
            </a:solidFill>
          </a:endParaRPr>
        </a:p>
        <a:p>
          <a:endParaRPr lang="sv-SE" sz="1100" baseline="0">
            <a:solidFill>
              <a:sysClr val="windowText" lastClr="000000"/>
            </a:solidFill>
          </a:endParaRPr>
        </a:p>
        <a:p>
          <a:r>
            <a:rPr lang="sv-SE" sz="1100" baseline="0">
              <a:solidFill>
                <a:sysClr val="windowText" lastClr="000000"/>
              </a:solidFill>
            </a:rPr>
            <a:t>Här tas </a:t>
          </a:r>
          <a:r>
            <a:rPr lang="sv-SE" sz="1100" u="sng" baseline="0">
              <a:solidFill>
                <a:srgbClr val="C00000"/>
              </a:solidFill>
            </a:rPr>
            <a:t>ej</a:t>
          </a:r>
          <a:r>
            <a:rPr lang="sv-SE" sz="1100" baseline="0">
              <a:solidFill>
                <a:sysClr val="windowText" lastClr="000000"/>
              </a:solidFill>
            </a:rPr>
            <a:t> konto 3800-3899 med (</a:t>
          </a:r>
          <a:r>
            <a:rPr lang="sv-SE" sz="1100" b="0" i="0">
              <a:solidFill>
                <a:sysClr val="windowText" lastClr="000000"/>
              </a:solidFill>
              <a:effectLst/>
              <a:latin typeface="+mn-lt"/>
              <a:ea typeface="+mn-ea"/>
              <a:cs typeface="+mn-cs"/>
            </a:rPr>
            <a:t>Aktiverat arbete för egen räkning) som utgör</a:t>
          </a:r>
          <a:r>
            <a:rPr lang="sv-SE" sz="1100" b="0" i="0" baseline="0">
              <a:solidFill>
                <a:sysClr val="windowText" lastClr="000000"/>
              </a:solidFill>
              <a:effectLst/>
              <a:latin typeface="+mn-lt"/>
              <a:ea typeface="+mn-ea"/>
              <a:cs typeface="+mn-cs"/>
            </a:rPr>
            <a:t> en egen intäktspost i årsredovisningen.</a:t>
          </a:r>
        </a:p>
        <a:p>
          <a:endParaRPr lang="sv-SE" sz="1100" b="0" i="0" baseline="0">
            <a:solidFill>
              <a:sysClr val="windowText" lastClr="000000"/>
            </a:solidFill>
            <a:effectLst/>
            <a:latin typeface="+mn-lt"/>
            <a:ea typeface="+mn-ea"/>
            <a:cs typeface="+mn-cs"/>
          </a:endParaRPr>
        </a:p>
        <a:p>
          <a:r>
            <a:rPr lang="sv-SE" sz="1100" b="0" i="0" baseline="0">
              <a:solidFill>
                <a:sysClr val="windowText" lastClr="000000"/>
              </a:solidFill>
              <a:effectLst/>
              <a:latin typeface="+mn-lt"/>
              <a:ea typeface="+mn-ea"/>
              <a:cs typeface="+mn-cs"/>
            </a:rPr>
            <a:t>Här tas </a:t>
          </a:r>
          <a:r>
            <a:rPr lang="sv-SE" sz="1100" b="0" i="0" u="sng" baseline="0">
              <a:solidFill>
                <a:srgbClr val="C00000"/>
              </a:solidFill>
              <a:effectLst/>
              <a:latin typeface="+mn-lt"/>
              <a:ea typeface="+mn-ea"/>
              <a:cs typeface="+mn-cs"/>
            </a:rPr>
            <a:t>ej</a:t>
          </a:r>
          <a:r>
            <a:rPr lang="sv-SE" sz="1100" b="0" i="0" baseline="0">
              <a:solidFill>
                <a:sysClr val="windowText" lastClr="000000"/>
              </a:solidFill>
              <a:effectLst/>
              <a:latin typeface="+mn-lt"/>
              <a:ea typeface="+mn-ea"/>
              <a:cs typeface="+mn-cs"/>
            </a:rPr>
            <a:t> konto 3900-3999 med samt </a:t>
          </a:r>
          <a:r>
            <a:rPr lang="sv-SE" sz="1100" b="0" i="0" baseline="0">
              <a:solidFill>
                <a:schemeClr val="tx1"/>
              </a:solidFill>
              <a:effectLst/>
              <a:latin typeface="+mn-lt"/>
              <a:ea typeface="+mn-ea"/>
              <a:cs typeface="+mn-cs"/>
            </a:rPr>
            <a:t>3560, </a:t>
          </a:r>
          <a:r>
            <a:rPr lang="sv-SE" sz="1100" b="1" i="0" baseline="0">
              <a:solidFill>
                <a:schemeClr val="tx1"/>
              </a:solidFill>
              <a:effectLst/>
              <a:latin typeface="+mn-lt"/>
              <a:ea typeface="+mn-ea"/>
              <a:cs typeface="+mn-cs"/>
            </a:rPr>
            <a:t>3555</a:t>
          </a:r>
          <a:r>
            <a:rPr lang="sv-SE" sz="1100" b="0" i="0" baseline="0">
              <a:solidFill>
                <a:schemeClr val="tx1"/>
              </a:solidFill>
              <a:effectLst/>
              <a:latin typeface="+mn-lt"/>
              <a:ea typeface="+mn-ea"/>
              <a:cs typeface="+mn-cs"/>
            </a:rPr>
            <a:t> och 3587 </a:t>
          </a:r>
          <a:r>
            <a:rPr lang="sv-SE" sz="1100" b="0" i="0" baseline="0">
              <a:solidFill>
                <a:sysClr val="windowText" lastClr="000000"/>
              </a:solidFill>
              <a:effectLst/>
              <a:latin typeface="+mn-lt"/>
              <a:ea typeface="+mn-ea"/>
              <a:cs typeface="+mn-cs"/>
            </a:rPr>
            <a:t>(Övriga rörelseintäkter) som utgör en egen intäktspost i årsredovisningen.</a:t>
          </a:r>
          <a:endParaRPr lang="sv-SE" sz="1100" baseline="0">
            <a:solidFill>
              <a:sysClr val="windowText" lastClr="000000"/>
            </a:solidFill>
          </a:endParaRPr>
        </a:p>
        <a:p>
          <a:endParaRPr lang="sv-SE" sz="1100" baseline="0">
            <a:solidFill>
              <a:sysClr val="windowText" lastClr="000000"/>
            </a:solidFill>
          </a:endParaRPr>
        </a:p>
        <a:p>
          <a:r>
            <a:rPr lang="sv-SE" sz="1100" i="1">
              <a:solidFill>
                <a:sysClr val="windowText" lastClr="000000"/>
              </a:solidFill>
              <a:latin typeface="Calibri (brödtext)"/>
            </a:rPr>
            <a:t>Nettoomsättning är bolagets huvudsakliga intäkter </a:t>
          </a:r>
          <a:r>
            <a:rPr lang="sv-SE" sz="1100" b="0" i="1">
              <a:solidFill>
                <a:sysClr val="windowText" lastClr="000000"/>
              </a:solidFill>
              <a:effectLst/>
              <a:latin typeface="Calibri (brödtext)"/>
              <a:ea typeface="+mn-ea"/>
              <a:cs typeface="+mn-cs"/>
            </a:rPr>
            <a:t>i företagets </a:t>
          </a:r>
          <a:r>
            <a:rPr lang="sv-SE" sz="1100" b="0" i="1">
              <a:solidFill>
                <a:schemeClr val="dk1"/>
              </a:solidFill>
              <a:effectLst/>
              <a:latin typeface="Calibri (brödtext)"/>
              <a:ea typeface="+mn-ea"/>
              <a:cs typeface="+mn-cs"/>
            </a:rPr>
            <a:t>normala verksamhet. </a:t>
          </a:r>
          <a:r>
            <a:rPr lang="sv-SE" b="0" i="1">
              <a:solidFill>
                <a:srgbClr val="202124"/>
              </a:solidFill>
              <a:effectLst/>
              <a:latin typeface="Calibri (brödtext)"/>
            </a:rPr>
            <a:t>Nettoomsättningen är de sammanlagda försäljningsintäkterna i företaget efter avdrag för lämnade rabatter, moms och skatter knutna till omsättningen.</a:t>
          </a:r>
          <a:endParaRPr lang="sv-SE" sz="1100" i="1">
            <a:latin typeface="Calibri (brödtext)"/>
          </a:endParaRPr>
        </a:p>
      </xdr:txBody>
    </xdr:sp>
    <xdr:clientData/>
  </xdr:twoCellAnchor>
  <xdr:twoCellAnchor>
    <xdr:from>
      <xdr:col>5</xdr:col>
      <xdr:colOff>590550</xdr:colOff>
      <xdr:row>25</xdr:row>
      <xdr:rowOff>19050</xdr:rowOff>
    </xdr:from>
    <xdr:to>
      <xdr:col>13</xdr:col>
      <xdr:colOff>504825</xdr:colOff>
      <xdr:row>40</xdr:row>
      <xdr:rowOff>133350</xdr:rowOff>
    </xdr:to>
    <xdr:sp macro="" textlink="">
      <xdr:nvSpPr>
        <xdr:cNvPr id="3" name="textruta 2">
          <a:extLst>
            <a:ext uri="{FF2B5EF4-FFF2-40B4-BE49-F238E27FC236}">
              <a16:creationId xmlns:a16="http://schemas.microsoft.com/office/drawing/2014/main" id="{394C3A3A-C59A-4223-99BC-22BA57967139}"/>
            </a:ext>
          </a:extLst>
        </xdr:cNvPr>
        <xdr:cNvSpPr txBox="1"/>
      </xdr:nvSpPr>
      <xdr:spPr>
        <a:xfrm>
          <a:off x="9372600" y="4810125"/>
          <a:ext cx="4800600" cy="24003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b="1"/>
            <a:t>Bolag vars räkneskapsår är annan än 12 månader &amp;</a:t>
          </a:r>
          <a:r>
            <a:rPr lang="sv-SE" b="1" baseline="0"/>
            <a:t> bolag med 12 månaders årsbokslut som förvärvats eller avyttrats under 2025 av Omegapoint </a:t>
          </a:r>
          <a:r>
            <a:rPr lang="sv-SE" b="0" baseline="0">
              <a:solidFill>
                <a:srgbClr val="C00000"/>
              </a:solidFill>
            </a:rPr>
            <a:t>(OP Norge)</a:t>
          </a:r>
          <a:r>
            <a:rPr lang="sv-SE" b="0">
              <a:solidFill>
                <a:srgbClr val="C00000"/>
              </a:solidFill>
            </a:rPr>
            <a:t>:</a:t>
          </a:r>
        </a:p>
        <a:p>
          <a:endParaRPr lang="sv-SE" b="1"/>
        </a:p>
        <a:p>
          <a:r>
            <a:rPr lang="sv-SE" b="0"/>
            <a:t>Se perioden i B6.</a:t>
          </a:r>
        </a:p>
        <a:p>
          <a:endParaRPr lang="sv-SE"/>
        </a:p>
        <a:p>
          <a:r>
            <a:rPr lang="sv-SE"/>
            <a:t>Har bolaget ett förkortat räkenskapsår så anges resultatsiffror enbart för</a:t>
          </a:r>
          <a:r>
            <a:rPr lang="sv-SE" baseline="0"/>
            <a:t> den förkortade perioden.</a:t>
          </a:r>
        </a:p>
        <a:p>
          <a:endParaRPr lang="sv-SE" baseline="0"/>
        </a:p>
        <a:p>
          <a:r>
            <a:rPr lang="sv-SE" baseline="0"/>
            <a:t>Om bolaget har 12 månaders räkenskapsår men tex förvärvades under 2025 av Omegapoint ska enbart tiden bolaget varit del av Omegapoint anges i detta rapportpakets resultatsiffror (bolaget redovisar dock 12 månader i sin egen årsredovisning). </a:t>
          </a:r>
        </a:p>
        <a:p>
          <a:endParaRPr lang="sv-SE"/>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1</xdr:row>
      <xdr:rowOff>9525</xdr:rowOff>
    </xdr:from>
    <xdr:to>
      <xdr:col>16</xdr:col>
      <xdr:colOff>152400</xdr:colOff>
      <xdr:row>22</xdr:row>
      <xdr:rowOff>114300</xdr:rowOff>
    </xdr:to>
    <xdr:sp macro="" textlink="">
      <xdr:nvSpPr>
        <xdr:cNvPr id="2" name="textruta 1">
          <a:extLst>
            <a:ext uri="{FF2B5EF4-FFF2-40B4-BE49-F238E27FC236}">
              <a16:creationId xmlns:a16="http://schemas.microsoft.com/office/drawing/2014/main" id="{776CFC0D-6C3C-4420-8D9B-2B95C310D30C}"/>
            </a:ext>
          </a:extLst>
        </xdr:cNvPr>
        <xdr:cNvSpPr txBox="1"/>
      </xdr:nvSpPr>
      <xdr:spPr>
        <a:xfrm>
          <a:off x="9801225" y="209550"/>
          <a:ext cx="6229350" cy="37338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0" i="0">
              <a:solidFill>
                <a:schemeClr val="dk1"/>
              </a:solidFill>
              <a:effectLst/>
              <a:latin typeface="+mn-lt"/>
              <a:ea typeface="+mn-ea"/>
              <a:cs typeface="+mn-cs"/>
            </a:rPr>
            <a:t>Uppdrag som enbart kan utföras av den </a:t>
          </a:r>
          <a:r>
            <a:rPr lang="sv-SE" sz="1100" b="1" i="0">
              <a:solidFill>
                <a:schemeClr val="dk1"/>
              </a:solidFill>
              <a:effectLst/>
              <a:latin typeface="+mn-lt"/>
              <a:ea typeface="+mn-ea"/>
              <a:cs typeface="+mn-cs"/>
            </a:rPr>
            <a:t>årsstämmovalde revisorn</a:t>
          </a:r>
          <a:r>
            <a:rPr lang="sv-SE" sz="1100" b="0" i="0">
              <a:solidFill>
                <a:schemeClr val="dk1"/>
              </a:solidFill>
              <a:effectLst/>
              <a:latin typeface="+mn-lt"/>
              <a:ea typeface="+mn-ea"/>
              <a:cs typeface="+mn-cs"/>
            </a:rPr>
            <a:t>.</a:t>
          </a:r>
          <a:endParaRPr lang="sv-SE" sz="1100">
            <a:solidFill>
              <a:sysClr val="windowText" lastClr="000000"/>
            </a:solidFill>
          </a:endParaRPr>
        </a:p>
        <a:p>
          <a:r>
            <a:rPr lang="sv-SE" sz="1100">
              <a:solidFill>
                <a:sysClr val="windowText" lastClr="000000"/>
              </a:solidFill>
            </a:rPr>
            <a:t>Cedra (fd PWC)</a:t>
          </a:r>
          <a:r>
            <a:rPr lang="sv-SE" sz="1100" baseline="0">
              <a:solidFill>
                <a:sysClr val="windowText" lastClr="000000"/>
              </a:solidFill>
            </a:rPr>
            <a:t> </a:t>
          </a:r>
          <a:r>
            <a:rPr lang="sv-SE" sz="1100">
              <a:solidFill>
                <a:sysClr val="windowText" lastClr="000000"/>
              </a:solidFill>
            </a:rPr>
            <a:t>är revisorer</a:t>
          </a:r>
          <a:r>
            <a:rPr lang="sv-SE" sz="1100" baseline="0">
              <a:solidFill>
                <a:sysClr val="windowText" lastClr="000000"/>
              </a:solidFill>
            </a:rPr>
            <a:t> för majoriteten bolag i Omegapointkoncernen.</a:t>
          </a:r>
        </a:p>
        <a:p>
          <a:endParaRPr lang="sv-SE" sz="1100" baseline="0">
            <a:solidFill>
              <a:sysClr val="windowText" lastClr="000000"/>
            </a:solidFill>
          </a:endParaRPr>
        </a:p>
        <a:p>
          <a:r>
            <a:rPr lang="sv-SE" sz="1100" b="0" i="1" u="sng">
              <a:solidFill>
                <a:schemeClr val="dk1"/>
              </a:solidFill>
              <a:effectLst/>
              <a:latin typeface="+mn-lt"/>
              <a:ea typeface="+mn-ea"/>
              <a:cs typeface="+mn-cs"/>
            </a:rPr>
            <a:t>Revisionsarvode</a:t>
          </a:r>
          <a:r>
            <a:rPr lang="sv-SE" sz="1100" b="0" i="1">
              <a:solidFill>
                <a:schemeClr val="dk1"/>
              </a:solidFill>
              <a:effectLst/>
              <a:latin typeface="+mn-lt"/>
              <a:ea typeface="+mn-ea"/>
              <a:cs typeface="+mn-cs"/>
            </a:rPr>
            <a:t> består av arvoden för årets revisionsuppdraget och andra revisionstjänster (som är av den karaktären att de enbart kan utföras av den stämmovalde revisorn), revisorsintyganden samt attestuppdrag.</a:t>
          </a:r>
        </a:p>
        <a:p>
          <a:endParaRPr lang="sv-SE" sz="1100" b="0" i="1">
            <a:solidFill>
              <a:schemeClr val="dk1"/>
            </a:solidFill>
            <a:effectLst/>
            <a:latin typeface="+mn-lt"/>
            <a:ea typeface="+mn-ea"/>
            <a:cs typeface="+mn-cs"/>
          </a:endParaRPr>
        </a:p>
        <a:p>
          <a:r>
            <a:rPr lang="sv-SE" sz="1100" b="0" i="1">
              <a:solidFill>
                <a:schemeClr val="dk1"/>
              </a:solidFill>
              <a:effectLst/>
              <a:latin typeface="+mn-lt"/>
              <a:ea typeface="+mn-ea"/>
              <a:cs typeface="+mn-cs"/>
            </a:rPr>
            <a:t>Arvoden för </a:t>
          </a:r>
          <a:r>
            <a:rPr lang="sv-SE" sz="1100" b="0" i="1" u="sng">
              <a:solidFill>
                <a:schemeClr val="dk1"/>
              </a:solidFill>
              <a:effectLst/>
              <a:latin typeface="+mn-lt"/>
              <a:ea typeface="+mn-ea"/>
              <a:cs typeface="+mn-cs"/>
            </a:rPr>
            <a:t>revisionsnära konsulttjänster </a:t>
          </a:r>
          <a:r>
            <a:rPr lang="sv-SE" sz="1100" b="0" i="1">
              <a:solidFill>
                <a:schemeClr val="dk1"/>
              </a:solidFill>
              <a:effectLst/>
              <a:latin typeface="+mn-lt"/>
              <a:ea typeface="+mn-ea"/>
              <a:cs typeface="+mn-cs"/>
            </a:rPr>
            <a:t>består av arvoden för utlåtanden och andra uppdrag som är förknippade med revisionen av bolagens- och koncernens årsredovisningar,</a:t>
          </a:r>
          <a:r>
            <a:rPr lang="sv-SE" sz="1100" b="0" i="1" baseline="0">
              <a:solidFill>
                <a:schemeClr val="dk1"/>
              </a:solidFill>
              <a:effectLst/>
              <a:latin typeface="+mn-lt"/>
              <a:ea typeface="+mn-ea"/>
              <a:cs typeface="+mn-cs"/>
            </a:rPr>
            <a:t> </a:t>
          </a:r>
          <a:r>
            <a:rPr lang="sv-SE" sz="1100" b="0" i="1">
              <a:solidFill>
                <a:schemeClr val="dk1"/>
              </a:solidFill>
              <a:effectLst/>
              <a:latin typeface="+mn-lt"/>
              <a:ea typeface="+mn-ea"/>
              <a:cs typeface="+mn-cs"/>
            </a:rPr>
            <a:t>bokföring och som traditionellt utförs av revisorn, ink. konsultationer beträffande redovisnings- och rapporteringskrav, granskning av internkontroll samt revision av pensionsplaner. </a:t>
          </a:r>
        </a:p>
        <a:p>
          <a:endParaRPr lang="sv-SE" sz="1100" b="0" i="1">
            <a:solidFill>
              <a:schemeClr val="dk1"/>
            </a:solidFill>
            <a:effectLst/>
            <a:latin typeface="+mn-lt"/>
            <a:ea typeface="+mn-ea"/>
            <a:cs typeface="+mn-cs"/>
          </a:endParaRPr>
        </a:p>
        <a:p>
          <a:r>
            <a:rPr lang="sv-SE" sz="1100" b="0" i="1">
              <a:solidFill>
                <a:schemeClr val="dk1"/>
              </a:solidFill>
              <a:effectLst/>
              <a:latin typeface="+mn-lt"/>
              <a:ea typeface="+mn-ea"/>
              <a:cs typeface="+mn-cs"/>
            </a:rPr>
            <a:t>Arvoden för </a:t>
          </a:r>
          <a:r>
            <a:rPr lang="sv-SE" sz="1100" b="0" i="1" u="sng">
              <a:solidFill>
                <a:schemeClr val="dk1"/>
              </a:solidFill>
              <a:effectLst/>
              <a:latin typeface="+mn-lt"/>
              <a:ea typeface="+mn-ea"/>
              <a:cs typeface="+mn-cs"/>
            </a:rPr>
            <a:t>skattekonsultationer</a:t>
          </a:r>
          <a:r>
            <a:rPr lang="sv-SE" sz="1100" b="0" i="1">
              <a:solidFill>
                <a:schemeClr val="dk1"/>
              </a:solidFill>
              <a:effectLst/>
              <a:latin typeface="+mn-lt"/>
              <a:ea typeface="+mn-ea"/>
              <a:cs typeface="+mn-cs"/>
            </a:rPr>
            <a:t> består av debiterande för skattetjänster, inkluderandes upprättande av deklarationer, skattekonsultationer, skatterådgivning i samband med företagsförvärv och fusioner, transferprissättning, begäran om förhandsbesked eller andra utlåtanden från skattemyndigheter, skatteplanering samt skattetjänster relaterade till utlandspersonal.</a:t>
          </a:r>
        </a:p>
        <a:p>
          <a:endParaRPr lang="sv-SE" sz="1100" b="0" i="0" baseline="0">
            <a:solidFill>
              <a:schemeClr val="dk1"/>
            </a:solidFill>
            <a:effectLst/>
            <a:latin typeface="+mn-lt"/>
            <a:ea typeface="+mn-ea"/>
            <a:cs typeface="+mn-cs"/>
          </a:endParaRPr>
        </a:p>
        <a:p>
          <a:r>
            <a:rPr lang="sv-SE" sz="1100" b="0" i="0" baseline="0">
              <a:solidFill>
                <a:schemeClr val="dk1"/>
              </a:solidFill>
              <a:effectLst/>
              <a:latin typeface="+mn-lt"/>
              <a:ea typeface="+mn-ea"/>
              <a:cs typeface="+mn-cs"/>
            </a:rPr>
            <a:t>Om </a:t>
          </a:r>
          <a:r>
            <a:rPr lang="sv-SE" sz="1100" b="0" i="0" u="sng" baseline="0">
              <a:solidFill>
                <a:schemeClr val="dk1"/>
              </a:solidFill>
              <a:effectLst/>
              <a:latin typeface="+mn-lt"/>
              <a:ea typeface="+mn-ea"/>
              <a:cs typeface="+mn-cs"/>
            </a:rPr>
            <a:t>bolag nya i gruppen  </a:t>
          </a:r>
          <a:r>
            <a:rPr lang="sv-SE" sz="1100" b="0" i="0" baseline="0">
              <a:solidFill>
                <a:schemeClr val="dk1"/>
              </a:solidFill>
              <a:effectLst/>
              <a:latin typeface="+mn-lt"/>
              <a:ea typeface="+mn-ea"/>
              <a:cs typeface="+mn-cs"/>
            </a:rPr>
            <a:t>så behöver fg år </a:t>
          </a:r>
          <a:r>
            <a:rPr lang="sv-SE" sz="1100" b="1" i="0" baseline="0">
              <a:solidFill>
                <a:schemeClr val="dk1"/>
              </a:solidFill>
              <a:effectLst/>
              <a:latin typeface="+mn-lt"/>
              <a:ea typeface="+mn-ea"/>
              <a:cs typeface="+mn-cs"/>
            </a:rPr>
            <a:t>inte</a:t>
          </a:r>
          <a:r>
            <a:rPr lang="sv-SE" sz="1100" b="0" i="0" baseline="0">
              <a:solidFill>
                <a:schemeClr val="dk1"/>
              </a:solidFill>
              <a:effectLst/>
              <a:latin typeface="+mn-lt"/>
              <a:ea typeface="+mn-ea"/>
              <a:cs typeface="+mn-cs"/>
            </a:rPr>
            <a:t> anges. Däremot fyller man i enligt angifen period i B4.</a:t>
          </a:r>
          <a:endParaRPr lang="sv-SE" sz="1100" b="0" i="0">
            <a:solidFill>
              <a:schemeClr val="dk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9526</xdr:colOff>
      <xdr:row>0</xdr:row>
      <xdr:rowOff>123824</xdr:rowOff>
    </xdr:from>
    <xdr:to>
      <xdr:col>15</xdr:col>
      <xdr:colOff>104776</xdr:colOff>
      <xdr:row>16</xdr:row>
      <xdr:rowOff>9525</xdr:rowOff>
    </xdr:to>
    <xdr:sp macro="" textlink="">
      <xdr:nvSpPr>
        <xdr:cNvPr id="3" name="textruta 2">
          <a:extLst>
            <a:ext uri="{FF2B5EF4-FFF2-40B4-BE49-F238E27FC236}">
              <a16:creationId xmlns:a16="http://schemas.microsoft.com/office/drawing/2014/main" id="{6037D807-514B-4EC9-AD62-53D708726D1B}"/>
            </a:ext>
          </a:extLst>
        </xdr:cNvPr>
        <xdr:cNvSpPr txBox="1"/>
      </xdr:nvSpPr>
      <xdr:spPr>
        <a:xfrm>
          <a:off x="12306301" y="123824"/>
          <a:ext cx="6438900" cy="305752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1">
              <a:solidFill>
                <a:sysClr val="windowText" lastClr="000000"/>
              </a:solidFill>
            </a:rPr>
            <a:t>Använd nderlagen från senaste godkända skatteberäkning</a:t>
          </a:r>
          <a:r>
            <a:rPr lang="sv-SE" sz="1100">
              <a:solidFill>
                <a:sysClr val="windowText" lastClr="000000"/>
              </a:solidFill>
            </a:rPr>
            <a:t>- Men uppdatera D20</a:t>
          </a:r>
          <a:r>
            <a:rPr lang="sv-SE" sz="1100" baseline="0">
              <a:solidFill>
                <a:sysClr val="windowText" lastClr="000000"/>
              </a:solidFill>
            </a:rPr>
            <a:t> </a:t>
          </a:r>
          <a:r>
            <a:rPr lang="sv-SE" sz="1100">
              <a:solidFill>
                <a:sysClr val="windowText" lastClr="000000"/>
              </a:solidFill>
            </a:rPr>
            <a:t>(Resultat innan skatt) med det nya resultatet</a:t>
          </a:r>
          <a:r>
            <a:rPr lang="sv-SE" sz="1100" baseline="0">
              <a:solidFill>
                <a:sysClr val="windowText" lastClr="000000"/>
              </a:solidFill>
            </a:rPr>
            <a:t> efter koncernbidragsbokningen (för de bolag det berör). Beräknad skatt ska överenstämma med bokförd skatt. </a:t>
          </a:r>
          <a:r>
            <a:rPr lang="sv-SE" sz="1100" baseline="0">
              <a:solidFill>
                <a:srgbClr val="FF0000"/>
              </a:solidFill>
            </a:rPr>
            <a:t>Obs, ej fallet för bolag med förlängt eller förkortat räkenskapsår. Då blir det två hanteringar. Detta avser koncernens skattenot. </a:t>
          </a:r>
        </a:p>
        <a:p>
          <a:endParaRPr lang="sv-SE" sz="1100" baseline="0"/>
        </a:p>
        <a:p>
          <a:r>
            <a:rPr lang="sv-SE" sz="1100" i="1" baseline="0"/>
            <a:t>Lista belopp från RR som är ej avdragsgill och skattepliktiga. Förslag på konton finns i listan eller ange eget. Gå igenom listan att ingen post missats.</a:t>
          </a:r>
        </a:p>
        <a:p>
          <a:endParaRPr lang="sv-SE" sz="1100" i="1" baseline="0"/>
        </a:p>
        <a:p>
          <a:r>
            <a:rPr lang="sv-SE" sz="1100" i="1" baseline="0"/>
            <a:t>Misstämmer skatt enligt slutskattebeskedet från fg års beräkning? det kan bero på en skatterättning som skett i inkomstdeklarationen. Denna skatterättning belastar årets skatt men ska inte ingå i beräkningen för årets bolagsskatt. Hellst ska dessa skatterättningar ligga på ett eget resultatkonto 8920 tex. Ange denna effekt separat på  rad 49.</a:t>
          </a:r>
        </a:p>
        <a:p>
          <a:endParaRPr lang="sv-SE" sz="1100" i="1" baseline="0"/>
        </a:p>
        <a:p>
          <a:r>
            <a:rPr lang="sv-SE" sz="1100" i="1" baseline="0"/>
            <a:t>Finns emmissionskostnader som bokförts mot eget kapital (mot överkursfond)? ange dessa på rad 40. Denna skatt ska inte bokas mot 2510 (skatteskuld) utan mot samma eget kapitalkonto (överkursfond) som emmissionskostnaden ligger emot. Dvs dras av från emmissionskostnaderna. </a:t>
          </a:r>
        </a:p>
        <a:p>
          <a:endParaRPr lang="sv-SE" sz="1100" b="0" baseline="0"/>
        </a:p>
        <a:p>
          <a:endParaRPr lang="sv-SE" sz="1100" b="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161925</xdr:colOff>
      <xdr:row>3</xdr:row>
      <xdr:rowOff>200025</xdr:rowOff>
    </xdr:from>
    <xdr:to>
      <xdr:col>15</xdr:col>
      <xdr:colOff>600075</xdr:colOff>
      <xdr:row>15</xdr:row>
      <xdr:rowOff>123825</xdr:rowOff>
    </xdr:to>
    <xdr:sp macro="" textlink="">
      <xdr:nvSpPr>
        <xdr:cNvPr id="2" name="textruta 1">
          <a:extLst>
            <a:ext uri="{FF2B5EF4-FFF2-40B4-BE49-F238E27FC236}">
              <a16:creationId xmlns:a16="http://schemas.microsoft.com/office/drawing/2014/main" id="{4CF22A38-2517-C6B2-51C9-7FD044849676}"/>
            </a:ext>
          </a:extLst>
        </xdr:cNvPr>
        <xdr:cNvSpPr txBox="1"/>
      </xdr:nvSpPr>
      <xdr:spPr>
        <a:xfrm>
          <a:off x="9877425" y="771525"/>
          <a:ext cx="4705350" cy="22669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Denna fil beräknar automatiskt</a:t>
          </a:r>
          <a:r>
            <a:rPr lang="sv-SE" sz="1100" baseline="0"/>
            <a:t> leasigens kvarvarande tid utifrån uppgifterna angivna i "Operationell leasing 1".</a:t>
          </a:r>
        </a:p>
        <a:p>
          <a:endParaRPr lang="sv-SE" sz="1100" baseline="0"/>
        </a:p>
        <a:p>
          <a:r>
            <a:rPr lang="sv-SE" sz="1100" baseline="0"/>
            <a:t>Däremot ska </a:t>
          </a:r>
          <a:r>
            <a:rPr lang="sv-SE" sz="1100" i="1" u="sng" baseline="0"/>
            <a:t>årets</a:t>
          </a:r>
          <a:r>
            <a:rPr lang="sv-SE" sz="1100" baseline="0"/>
            <a:t> hyres- och leasingkostnad (från resultaträkningen) anges på rad 21 och 22. Ange kontona i resultaträkningen som beloppen är hämtade ifrån.</a:t>
          </a:r>
        </a:p>
        <a:p>
          <a:endParaRPr lang="sv-SE" sz="1100" baseline="0"/>
        </a:p>
        <a:p>
          <a:r>
            <a:rPr lang="sv-SE" sz="1100" baseline="0"/>
            <a:t>Har man ett förkortat räkenskapsår eller blivit förvärvad av Omegapoint under 2023 så anger man kostnaderna för perioden som anges i C19. Observera att ni inte behöver justera för förkortat år i "Operationell leasing del 1".</a:t>
          </a:r>
          <a:endParaRPr lang="sv-SE"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1038226</xdr:colOff>
      <xdr:row>0</xdr:row>
      <xdr:rowOff>76199</xdr:rowOff>
    </xdr:from>
    <xdr:to>
      <xdr:col>19</xdr:col>
      <xdr:colOff>152400</xdr:colOff>
      <xdr:row>15</xdr:row>
      <xdr:rowOff>123824</xdr:rowOff>
    </xdr:to>
    <xdr:sp macro="" textlink="">
      <xdr:nvSpPr>
        <xdr:cNvPr id="2" name="textruta 1">
          <a:extLst>
            <a:ext uri="{FF2B5EF4-FFF2-40B4-BE49-F238E27FC236}">
              <a16:creationId xmlns:a16="http://schemas.microsoft.com/office/drawing/2014/main" id="{479A6FB7-6E06-012D-712E-2E3945862936}"/>
            </a:ext>
          </a:extLst>
        </xdr:cNvPr>
        <xdr:cNvSpPr txBox="1"/>
      </xdr:nvSpPr>
      <xdr:spPr>
        <a:xfrm>
          <a:off x="2790826" y="76199"/>
          <a:ext cx="14782799" cy="30003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solidFill>
                <a:schemeClr val="dk1"/>
              </a:solidFill>
              <a:effectLst/>
              <a:latin typeface="+mn-lt"/>
              <a:ea typeface="+mn-ea"/>
              <a:cs typeface="+mn-cs"/>
            </a:rPr>
            <a:t>Syftet</a:t>
          </a:r>
          <a:r>
            <a:rPr lang="sv-SE" sz="1100" baseline="0">
              <a:solidFill>
                <a:schemeClr val="dk1"/>
              </a:solidFill>
              <a:effectLst/>
              <a:latin typeface="+mn-lt"/>
              <a:ea typeface="+mn-ea"/>
              <a:cs typeface="+mn-cs"/>
            </a:rPr>
            <a:t> med den här listan är att kartlägga bolagets </a:t>
          </a:r>
          <a:r>
            <a:rPr lang="sv-SE" sz="1100" b="1" u="sng" baseline="0">
              <a:solidFill>
                <a:schemeClr val="dk1"/>
              </a:solidFill>
              <a:effectLst/>
              <a:latin typeface="+mn-lt"/>
              <a:ea typeface="+mn-ea"/>
              <a:cs typeface="+mn-cs"/>
            </a:rPr>
            <a:t>alla</a:t>
          </a:r>
          <a:r>
            <a:rPr lang="sv-SE" sz="1100" baseline="0">
              <a:solidFill>
                <a:schemeClr val="dk1"/>
              </a:solidFill>
              <a:effectLst/>
              <a:latin typeface="+mn-lt"/>
              <a:ea typeface="+mn-ea"/>
              <a:cs typeface="+mn-cs"/>
            </a:rPr>
            <a:t> hyres och leasingkostnader som ska ligga till grund för noten om operationell leasing i årsredovisningen, samt förse koncernredovisningen med aktuella uppgifter inför årsbokslutet.</a:t>
          </a:r>
          <a:endParaRPr lang="sv-SE">
            <a:effectLst/>
          </a:endParaRPr>
        </a:p>
        <a:p>
          <a:r>
            <a:rPr lang="sv-SE" sz="1100" baseline="0">
              <a:solidFill>
                <a:schemeClr val="dk1"/>
              </a:solidFill>
              <a:effectLst/>
              <a:latin typeface="+mn-lt"/>
              <a:ea typeface="+mn-ea"/>
              <a:cs typeface="+mn-cs"/>
            </a:rPr>
            <a:t>Även interna hyreskostnader (t.ex. lokal) ska ingå nedan.</a:t>
          </a:r>
        </a:p>
        <a:p>
          <a:r>
            <a:rPr lang="sv-SE" sz="1100" baseline="0">
              <a:solidFill>
                <a:schemeClr val="dk1"/>
              </a:solidFill>
              <a:effectLst/>
              <a:latin typeface="+mn-lt"/>
              <a:ea typeface="+mn-ea"/>
              <a:cs typeface="+mn-cs"/>
            </a:rPr>
            <a:t>I listan finns delvis information från den finansiella leasingefilen som fylldes i tidigare. </a:t>
          </a:r>
        </a:p>
        <a:p>
          <a:endParaRPr lang="sv-SE" sz="1100" b="1" baseline="0">
            <a:solidFill>
              <a:schemeClr val="dk1"/>
            </a:solidFill>
            <a:effectLst/>
            <a:latin typeface="+mn-lt"/>
            <a:ea typeface="+mn-ea"/>
            <a:cs typeface="+mn-cs"/>
          </a:endParaRPr>
        </a:p>
        <a:p>
          <a:r>
            <a:rPr lang="sv-SE" sz="1100" b="1" baseline="0">
              <a:solidFill>
                <a:schemeClr val="dk1"/>
              </a:solidFill>
              <a:effectLst/>
              <a:latin typeface="+mn-lt"/>
              <a:ea typeface="+mn-ea"/>
              <a:cs typeface="+mn-cs"/>
            </a:rPr>
            <a:t>Vad ni behöver göra i listan är</a:t>
          </a:r>
          <a:r>
            <a:rPr lang="sv-SE" sz="1100" baseline="0">
              <a:solidFill>
                <a:schemeClr val="dk1"/>
              </a:solidFill>
              <a:effectLst/>
              <a:latin typeface="+mn-lt"/>
              <a:ea typeface="+mn-ea"/>
              <a:cs typeface="+mn-cs"/>
            </a:rPr>
            <a:t>:</a:t>
          </a:r>
        </a:p>
        <a:p>
          <a:endParaRPr lang="sv-SE">
            <a:effectLst/>
          </a:endParaRPr>
        </a:p>
        <a:p>
          <a:r>
            <a:rPr lang="sv-SE" sz="1100" baseline="0">
              <a:solidFill>
                <a:schemeClr val="dk1"/>
              </a:solidFill>
              <a:effectLst/>
              <a:latin typeface="+mn-lt"/>
              <a:ea typeface="+mn-ea"/>
              <a:cs typeface="+mn-cs"/>
            </a:rPr>
            <a:t>- Identifiera redan listad fin.leasing- och fin.hyresavtal och ange om den fortfarande är aktuell.</a:t>
          </a:r>
          <a:endParaRPr lang="sv-SE">
            <a:effectLst/>
          </a:endParaRPr>
        </a:p>
        <a:p>
          <a:r>
            <a:rPr lang="sv-SE" sz="1100" baseline="0">
              <a:solidFill>
                <a:schemeClr val="dk1"/>
              </a:solidFill>
              <a:effectLst/>
              <a:latin typeface="+mn-lt"/>
              <a:ea typeface="+mn-ea"/>
              <a:cs typeface="+mn-cs"/>
            </a:rPr>
            <a:t>- Finns större felaktigheter/avvikelser i de uppgifter som är angivna? ange i textruta vad som inte är korrekt (Obs ange den texten </a:t>
          </a:r>
          <a:r>
            <a:rPr lang="sv-SE" sz="1100" u="sng" baseline="0">
              <a:solidFill>
                <a:schemeClr val="dk1"/>
              </a:solidFill>
              <a:effectLst/>
              <a:latin typeface="+mn-lt"/>
              <a:ea typeface="+mn-ea"/>
              <a:cs typeface="+mn-cs"/>
            </a:rPr>
            <a:t>ej</a:t>
          </a:r>
          <a:r>
            <a:rPr lang="sv-SE" sz="1100" baseline="0">
              <a:solidFill>
                <a:schemeClr val="dk1"/>
              </a:solidFill>
              <a:effectLst/>
              <a:latin typeface="+mn-lt"/>
              <a:ea typeface="+mn-ea"/>
              <a:cs typeface="+mn-cs"/>
            </a:rPr>
            <a:t> i gröna fält).</a:t>
          </a:r>
          <a:endParaRPr lang="sv-SE">
            <a:effectLst/>
          </a:endParaRPr>
        </a:p>
        <a:p>
          <a:r>
            <a:rPr lang="sv-SE" sz="1100" baseline="0">
              <a:solidFill>
                <a:schemeClr val="dk1"/>
              </a:solidFill>
              <a:effectLst/>
              <a:latin typeface="+mn-lt"/>
              <a:ea typeface="+mn-ea"/>
              <a:cs typeface="+mn-cs"/>
            </a:rPr>
            <a:t>- Ta ut senaste hyres/leasingfakturan (på det nya året) för alla kontrakt och ange månadens leasingkostnaden exkl moms (vid kvartalsfaktura- ange månadsbeloppet och inte kvartalsbeloppet). </a:t>
          </a:r>
          <a:r>
            <a:rPr lang="sv-SE" sz="1100" baseline="0">
              <a:solidFill>
                <a:srgbClr val="C00000"/>
              </a:solidFill>
              <a:effectLst/>
              <a:latin typeface="+mn-lt"/>
              <a:ea typeface="+mn-ea"/>
              <a:cs typeface="+mn-cs"/>
            </a:rPr>
            <a:t>Obs, addera på halva leasingmomsen för leasingbilar (enbart). Obs addera på hela momsen på leasingcyklar (då vi inte får lyfta momsen).</a:t>
          </a:r>
        </a:p>
        <a:p>
          <a:r>
            <a:rPr lang="sv-SE" sz="1100" baseline="0">
              <a:solidFill>
                <a:schemeClr val="dk1"/>
              </a:solidFill>
              <a:effectLst/>
              <a:latin typeface="+mn-lt"/>
              <a:ea typeface="+mn-ea"/>
              <a:cs typeface="+mn-cs"/>
            </a:rPr>
            <a:t>- Addera nya kontrakt (</a:t>
          </a:r>
          <a:r>
            <a:rPr lang="sv-SE" sz="1100" u="sng" baseline="0">
              <a:solidFill>
                <a:schemeClr val="dk1"/>
              </a:solidFill>
              <a:effectLst/>
              <a:latin typeface="+mn-lt"/>
              <a:ea typeface="+mn-ea"/>
              <a:cs typeface="+mn-cs"/>
            </a:rPr>
            <a:t>finansiella</a:t>
          </a:r>
          <a:r>
            <a:rPr lang="sv-SE" sz="1100" baseline="0">
              <a:solidFill>
                <a:schemeClr val="dk1"/>
              </a:solidFill>
              <a:effectLst/>
              <a:latin typeface="+mn-lt"/>
              <a:ea typeface="+mn-ea"/>
              <a:cs typeface="+mn-cs"/>
            </a:rPr>
            <a:t> och </a:t>
          </a:r>
          <a:r>
            <a:rPr lang="sv-SE" sz="1100" u="sng" baseline="0">
              <a:solidFill>
                <a:schemeClr val="dk1"/>
              </a:solidFill>
              <a:effectLst/>
              <a:latin typeface="+mn-lt"/>
              <a:ea typeface="+mn-ea"/>
              <a:cs typeface="+mn-cs"/>
            </a:rPr>
            <a:t>operationella</a:t>
          </a:r>
          <a:r>
            <a:rPr lang="sv-SE" sz="1100" baseline="0">
              <a:solidFill>
                <a:schemeClr val="dk1"/>
              </a:solidFill>
              <a:effectLst/>
              <a:latin typeface="+mn-lt"/>
              <a:ea typeface="+mn-ea"/>
              <a:cs typeface="+mn-cs"/>
            </a:rPr>
            <a:t>), dvs kontrakt som saknas i listan. </a:t>
          </a:r>
          <a:r>
            <a:rPr lang="sv-SE" sz="1100" baseline="0">
              <a:solidFill>
                <a:srgbClr val="0070C0"/>
              </a:solidFill>
              <a:effectLst/>
              <a:latin typeface="+mn-lt"/>
              <a:ea typeface="+mn-ea"/>
              <a:cs typeface="+mn-cs"/>
            </a:rPr>
            <a:t>-&gt; Stäm av kontraktstyp mot avtalet (finansiell eller operationell) vid oklarhet kontakta leasinggivaren.</a:t>
          </a:r>
        </a:p>
        <a:p>
          <a:endParaRPr lang="sv-SE">
            <a:effectLst/>
          </a:endParaRPr>
        </a:p>
        <a:p>
          <a:r>
            <a:rPr lang="sv-SE" sz="1100" baseline="0">
              <a:solidFill>
                <a:schemeClr val="dk1"/>
              </a:solidFill>
              <a:effectLst/>
              <a:latin typeface="+mn-lt"/>
              <a:ea typeface="+mn-ea"/>
              <a:cs typeface="+mn-cs"/>
            </a:rPr>
            <a:t>Leasing och hyreskostnaden är den kontrakterade kostnaden + indexering eller nya fasta förändringar. </a:t>
          </a:r>
          <a:r>
            <a:rPr lang="sv-SE" sz="1100">
              <a:solidFill>
                <a:schemeClr val="dk1"/>
              </a:solidFill>
              <a:effectLst/>
              <a:latin typeface="+mn-lt"/>
              <a:ea typeface="+mn-ea"/>
              <a:cs typeface="+mn-cs"/>
            </a:rPr>
            <a:t>Variabla avgifter</a:t>
          </a:r>
          <a:r>
            <a:rPr lang="sv-SE" sz="1100" baseline="0">
              <a:solidFill>
                <a:schemeClr val="dk1"/>
              </a:solidFill>
              <a:effectLst/>
              <a:latin typeface="+mn-lt"/>
              <a:ea typeface="+mn-ea"/>
              <a:cs typeface="+mn-cs"/>
            </a:rPr>
            <a:t> (rörliga) såsom drift, försäkring och admin kostnader ska inte räknas in.</a:t>
          </a:r>
        </a:p>
        <a:p>
          <a:r>
            <a:rPr lang="sv-SE" sz="1100" baseline="0">
              <a:solidFill>
                <a:schemeClr val="dk1"/>
              </a:solidFill>
              <a:effectLst/>
              <a:latin typeface="+mn-lt"/>
              <a:ea typeface="+mn-ea"/>
              <a:cs typeface="+mn-cs"/>
            </a:rPr>
            <a:t>Utgå från senaste fakturan. </a:t>
          </a:r>
          <a:r>
            <a:rPr lang="sv-SE" sz="1100" u="sng" baseline="0">
              <a:solidFill>
                <a:schemeClr val="dk1"/>
              </a:solidFill>
              <a:effectLst/>
              <a:latin typeface="+mn-lt"/>
              <a:ea typeface="+mn-ea"/>
              <a:cs typeface="+mn-cs"/>
            </a:rPr>
            <a:t>Räkna ej in ev temporät bidraget från leasinggivaren avseend skattereduceringen för leaisngavgiften. Detta är ingen kontrakktuell förändring.</a:t>
          </a:r>
          <a:endParaRPr lang="sv-SE" u="sng">
            <a:effectLst/>
          </a:endParaRPr>
        </a:p>
        <a:p>
          <a:endParaRPr lang="sv-SE" sz="1100" baseline="0">
            <a:solidFill>
              <a:schemeClr val="dk1"/>
            </a:solidFill>
            <a:effectLst/>
            <a:latin typeface="+mn-lt"/>
            <a:ea typeface="+mn-ea"/>
            <a:cs typeface="+mn-cs"/>
          </a:endParaRPr>
        </a:p>
        <a:p>
          <a:r>
            <a:rPr lang="sv-SE" sz="1100" baseline="0">
              <a:solidFill>
                <a:schemeClr val="dk1"/>
              </a:solidFill>
              <a:effectLst/>
              <a:latin typeface="+mn-lt"/>
              <a:ea typeface="+mn-ea"/>
              <a:cs typeface="+mn-cs"/>
            </a:rPr>
            <a:t>Se över alla konton i resultaträkningen som innehåller hyra och leasing (5010. 5012. 5220. 5615-5616 etc) och se till att dessa återges i listan nedan.</a:t>
          </a:r>
          <a:endParaRPr lang="sv-SE">
            <a:effectLst/>
          </a:endParaRPr>
        </a:p>
        <a:p>
          <a:endParaRPr lang="sv-SE" sz="1100"/>
        </a:p>
        <a:p>
          <a:r>
            <a:rPr lang="sv-SE" sz="1100"/>
            <a:t>Kontrakt</a:t>
          </a:r>
          <a:r>
            <a:rPr lang="sv-SE" sz="1100" baseline="0"/>
            <a:t> som löper ut under året ska ligga kvar men inte kontrakt som upphörde förra året. Senaste leasingavgift behöver inte anges på kontrakt som avslutats under året.</a:t>
          </a:r>
          <a:endParaRPr lang="sv-SE"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476250</xdr:colOff>
      <xdr:row>5</xdr:row>
      <xdr:rowOff>85725</xdr:rowOff>
    </xdr:from>
    <xdr:to>
      <xdr:col>14</xdr:col>
      <xdr:colOff>95250</xdr:colOff>
      <xdr:row>15</xdr:row>
      <xdr:rowOff>76200</xdr:rowOff>
    </xdr:to>
    <xdr:sp macro="" textlink="">
      <xdr:nvSpPr>
        <xdr:cNvPr id="2" name="textruta 1">
          <a:extLst>
            <a:ext uri="{FF2B5EF4-FFF2-40B4-BE49-F238E27FC236}">
              <a16:creationId xmlns:a16="http://schemas.microsoft.com/office/drawing/2014/main" id="{708FCE0A-50FA-4F0E-94C4-A3339CABEF57}"/>
            </a:ext>
          </a:extLst>
        </xdr:cNvPr>
        <xdr:cNvSpPr txBox="1"/>
      </xdr:nvSpPr>
      <xdr:spPr>
        <a:xfrm>
          <a:off x="8115300" y="1076325"/>
          <a:ext cx="3886200" cy="20193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Resultatandel som belastar årets resultaträkning.</a:t>
          </a:r>
        </a:p>
        <a:p>
          <a:endParaRPr lang="sv-SE" sz="1100" baseline="0"/>
        </a:p>
        <a:p>
          <a:r>
            <a:rPr lang="sv-SE" sz="1100" baseline="0"/>
            <a:t>Vanligaste förekommande är utdelning från ett koncernbolag, nedskrivning av andelar i ett koncernblag (tillika uppskrivning) samt avyttring/försäljning.</a:t>
          </a:r>
        </a:p>
        <a:p>
          <a:endParaRPr lang="sv-SE" sz="1100" baseline="0"/>
        </a:p>
        <a:p>
          <a:r>
            <a:rPr lang="sv-SE" sz="1100" baseline="0"/>
            <a:t>Uppdelad i koncernbolag och intressebolag.</a:t>
          </a:r>
        </a:p>
        <a:p>
          <a:endParaRPr lang="sv-SE" sz="1100" baseline="0"/>
        </a:p>
        <a:p>
          <a:r>
            <a:rPr lang="sv-SE" sz="1100" u="sng" baseline="0">
              <a:solidFill>
                <a:srgbClr val="C00000"/>
              </a:solidFill>
            </a:rPr>
            <a:t>Koncernbidrag anges inte här.</a:t>
          </a:r>
        </a:p>
        <a:p>
          <a:endParaRPr lang="sv-SE" sz="1100" baseline="0"/>
        </a:p>
        <a:p>
          <a:endParaRPr lang="sv-SE"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57150</xdr:colOff>
      <xdr:row>0</xdr:row>
      <xdr:rowOff>171450</xdr:rowOff>
    </xdr:from>
    <xdr:to>
      <xdr:col>8</xdr:col>
      <xdr:colOff>85725</xdr:colOff>
      <xdr:row>6</xdr:row>
      <xdr:rowOff>142875</xdr:rowOff>
    </xdr:to>
    <xdr:sp macro="" textlink="">
      <xdr:nvSpPr>
        <xdr:cNvPr id="2" name="textruta 1">
          <a:extLst>
            <a:ext uri="{FF2B5EF4-FFF2-40B4-BE49-F238E27FC236}">
              <a16:creationId xmlns:a16="http://schemas.microsoft.com/office/drawing/2014/main" id="{29DA6EB0-AC8F-5BD5-AD69-3CECB5940090}"/>
            </a:ext>
          </a:extLst>
        </xdr:cNvPr>
        <xdr:cNvSpPr txBox="1"/>
      </xdr:nvSpPr>
      <xdr:spPr>
        <a:xfrm>
          <a:off x="8877300" y="171450"/>
          <a:ext cx="5895975" cy="1057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Ange förutbetalda kostnader och upplupna</a:t>
          </a:r>
          <a:r>
            <a:rPr lang="sv-SE" sz="1100" baseline="0"/>
            <a:t> intäkter.</a:t>
          </a:r>
        </a:p>
        <a:p>
          <a:endParaRPr lang="sv-SE" sz="1100" baseline="0"/>
        </a:p>
        <a:p>
          <a:r>
            <a:rPr lang="sv-SE" sz="1100" baseline="0"/>
            <a:t>Överstiger "Övriga poster" 10% (B18) av totalen så ska dessa poster listas nedan f o m rad 30.</a:t>
          </a:r>
        </a:p>
        <a:p>
          <a:r>
            <a:rPr lang="sv-SE" sz="1100" u="sng" baseline="0"/>
            <a:t>Även fg års poster </a:t>
          </a:r>
          <a:r>
            <a:rPr lang="sv-SE" sz="1100" baseline="0"/>
            <a:t>ska listas för att vi ska kunna bryta ut även fg år poster för en likvärdig hantering.</a:t>
          </a:r>
          <a:endParaRPr lang="sv-SE"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142875</xdr:rowOff>
    </xdr:from>
    <xdr:to>
      <xdr:col>9</xdr:col>
      <xdr:colOff>47625</xdr:colOff>
      <xdr:row>7</xdr:row>
      <xdr:rowOff>9525</xdr:rowOff>
    </xdr:to>
    <xdr:sp macro="" textlink="">
      <xdr:nvSpPr>
        <xdr:cNvPr id="2" name="textruta 1">
          <a:extLst>
            <a:ext uri="{FF2B5EF4-FFF2-40B4-BE49-F238E27FC236}">
              <a16:creationId xmlns:a16="http://schemas.microsoft.com/office/drawing/2014/main" id="{1575ECC9-984F-4500-A735-65B7A7A21E21}"/>
            </a:ext>
          </a:extLst>
        </xdr:cNvPr>
        <xdr:cNvSpPr txBox="1"/>
      </xdr:nvSpPr>
      <xdr:spPr>
        <a:xfrm>
          <a:off x="8582025" y="142875"/>
          <a:ext cx="5934075" cy="12477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Ange Upplupna kostnader och</a:t>
          </a:r>
          <a:r>
            <a:rPr lang="sv-SE" sz="1100" baseline="0"/>
            <a:t> förutbetalda intäkter.</a:t>
          </a:r>
        </a:p>
        <a:p>
          <a:r>
            <a:rPr lang="sv-SE" sz="1100" baseline="0"/>
            <a:t>Överstiger "Övriga poster" 10% (B16) av totalen så ska dessa poster listas nedan fom rad 27.</a:t>
          </a:r>
        </a:p>
        <a:p>
          <a:r>
            <a:rPr lang="sv-SE" sz="1100" u="sng" baseline="0"/>
            <a:t>Även fg års </a:t>
          </a:r>
          <a:r>
            <a:rPr lang="sv-SE" sz="1100" baseline="0"/>
            <a:t>poster ska listas för att vi ska kunna bryta ut även fg år poster för en likvärdig hantering.</a:t>
          </a:r>
        </a:p>
        <a:p>
          <a:endParaRPr lang="sv-SE" sz="1100" baseline="0"/>
        </a:p>
        <a:p>
          <a:r>
            <a:rPr lang="sv-SE" sz="1100"/>
            <a:t>I rådgivningskostnader ska redovisningstjänster</a:t>
          </a:r>
          <a:r>
            <a:rPr lang="sv-SE" sz="1100" baseline="0"/>
            <a:t> (ink årsredovisningskostnad), revisionsarvode och advokatkostnader ingå.</a:t>
          </a:r>
          <a:endParaRPr lang="sv-SE"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28575</xdr:colOff>
      <xdr:row>0</xdr:row>
      <xdr:rowOff>123826</xdr:rowOff>
    </xdr:from>
    <xdr:to>
      <xdr:col>12</xdr:col>
      <xdr:colOff>600075</xdr:colOff>
      <xdr:row>7</xdr:row>
      <xdr:rowOff>123825</xdr:rowOff>
    </xdr:to>
    <xdr:sp macro="" textlink="">
      <xdr:nvSpPr>
        <xdr:cNvPr id="2" name="textruta 1">
          <a:extLst>
            <a:ext uri="{FF2B5EF4-FFF2-40B4-BE49-F238E27FC236}">
              <a16:creationId xmlns:a16="http://schemas.microsoft.com/office/drawing/2014/main" id="{8A0043B7-2BD3-4784-B2B8-60C5F218A7E3}"/>
            </a:ext>
          </a:extLst>
        </xdr:cNvPr>
        <xdr:cNvSpPr txBox="1"/>
      </xdr:nvSpPr>
      <xdr:spPr>
        <a:xfrm>
          <a:off x="9515475" y="123826"/>
          <a:ext cx="6705600" cy="134302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Ange övriga kortfristiga fordringar.</a:t>
          </a:r>
        </a:p>
        <a:p>
          <a:r>
            <a:rPr lang="sv-SE" sz="1100" baseline="0"/>
            <a:t>2024 flyttades posten för upparbetat men ej fakturerade intäkter till egen rad i årsredovisningen på inrådan av PWC. (men ej justering av jämförelsesiffrorna 2023).</a:t>
          </a:r>
        </a:p>
        <a:p>
          <a:endParaRPr lang="sv-SE" sz="1100" baseline="0"/>
        </a:p>
        <a:p>
          <a:r>
            <a:rPr lang="sv-SE" sz="1100" baseline="0"/>
            <a:t>Överstiger "Övriga poster" 10% (B13) av totalen så ska dessa poster listas nedan fom rad 25.</a:t>
          </a:r>
        </a:p>
        <a:p>
          <a:endParaRPr lang="sv-SE" sz="1100" u="sng" baseline="0"/>
        </a:p>
        <a:p>
          <a:r>
            <a:rPr lang="sv-SE" sz="1100" u="sng" baseline="0"/>
            <a:t>Även fg års </a:t>
          </a:r>
          <a:r>
            <a:rPr lang="sv-SE" sz="1100" baseline="0"/>
            <a:t>poster ska listas för att vi ska kunna bryta ut även fg år poster för en likvärdig hantering.</a:t>
          </a:r>
        </a:p>
        <a:p>
          <a:endParaRPr lang="sv-SE" sz="1100" baseline="0"/>
        </a:p>
        <a:p>
          <a:endParaRPr lang="sv-SE" sz="1100">
            <a:solidFill>
              <a:srgbClr val="0070C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28575</xdr:colOff>
      <xdr:row>0</xdr:row>
      <xdr:rowOff>123825</xdr:rowOff>
    </xdr:from>
    <xdr:to>
      <xdr:col>12</xdr:col>
      <xdr:colOff>600075</xdr:colOff>
      <xdr:row>9</xdr:row>
      <xdr:rowOff>76200</xdr:rowOff>
    </xdr:to>
    <xdr:sp macro="" textlink="">
      <xdr:nvSpPr>
        <xdr:cNvPr id="2" name="textruta 1">
          <a:extLst>
            <a:ext uri="{FF2B5EF4-FFF2-40B4-BE49-F238E27FC236}">
              <a16:creationId xmlns:a16="http://schemas.microsoft.com/office/drawing/2014/main" id="{A3BADBC9-A71D-48C4-BE9A-5F7C1279CA6A}"/>
            </a:ext>
          </a:extLst>
        </xdr:cNvPr>
        <xdr:cNvSpPr txBox="1"/>
      </xdr:nvSpPr>
      <xdr:spPr>
        <a:xfrm>
          <a:off x="9515475" y="123825"/>
          <a:ext cx="6705600" cy="16859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aseline="0"/>
            <a:t>2024 flyttades posten för upparbetad men ej fakturerade intäkter till egen rad i årsredovisningen på inrådan av PWC. (men ej justering av jämförelsesiffrorna 2023).</a:t>
          </a:r>
        </a:p>
        <a:p>
          <a:endParaRPr lang="sv-SE" sz="1100" baseline="0"/>
        </a:p>
        <a:p>
          <a:r>
            <a:rPr lang="sv-SE" sz="1100" baseline="0"/>
            <a:t>Saldot från kontoklass 14:</a:t>
          </a:r>
        </a:p>
        <a:p>
          <a:endParaRPr lang="sv-SE" sz="1100" baseline="0"/>
        </a:p>
        <a:p>
          <a:r>
            <a:rPr lang="sv-SE" sz="1100" b="0" i="0" u="none" strike="noStrike">
              <a:solidFill>
                <a:schemeClr val="dk1"/>
              </a:solidFill>
              <a:effectLst/>
              <a:latin typeface="+mn-lt"/>
              <a:ea typeface="+mn-ea"/>
              <a:cs typeface="+mn-cs"/>
            </a:rPr>
            <a:t>1471</a:t>
          </a:r>
          <a:r>
            <a:rPr lang="sv-SE">
              <a:effectLst/>
            </a:rPr>
            <a:t> </a:t>
          </a:r>
          <a:r>
            <a:rPr lang="sv-SE" sz="1100" b="0" i="0" u="none" strike="noStrike">
              <a:solidFill>
                <a:schemeClr val="dk1"/>
              </a:solidFill>
              <a:effectLst/>
              <a:latin typeface="+mn-lt"/>
              <a:ea typeface="+mn-ea"/>
              <a:cs typeface="+mn-cs"/>
            </a:rPr>
            <a:t>Pågående arbeten, fastpris tid</a:t>
          </a:r>
          <a:r>
            <a:rPr lang="sv-SE">
              <a:effectLst/>
            </a:rPr>
            <a:t> </a:t>
          </a:r>
        </a:p>
        <a:p>
          <a:r>
            <a:rPr lang="sv-SE" sz="1100" b="0" i="0" u="none" strike="noStrike">
              <a:solidFill>
                <a:schemeClr val="dk1"/>
              </a:solidFill>
              <a:effectLst/>
              <a:latin typeface="+mn-lt"/>
              <a:ea typeface="+mn-ea"/>
              <a:cs typeface="+mn-cs"/>
            </a:rPr>
            <a:t>1472</a:t>
          </a:r>
          <a:r>
            <a:rPr lang="sv-SE">
              <a:effectLst/>
            </a:rPr>
            <a:t> </a:t>
          </a:r>
          <a:r>
            <a:rPr lang="sv-SE" sz="1100" b="0" i="0" u="none" strike="noStrike">
              <a:solidFill>
                <a:schemeClr val="dk1"/>
              </a:solidFill>
              <a:effectLst/>
              <a:latin typeface="+mn-lt"/>
              <a:ea typeface="+mn-ea"/>
              <a:cs typeface="+mn-cs"/>
            </a:rPr>
            <a:t>Pågående arbeten, fastpris utlägg</a:t>
          </a:r>
          <a:r>
            <a:rPr lang="sv-SE">
              <a:effectLst/>
            </a:rPr>
            <a:t> </a:t>
          </a:r>
        </a:p>
        <a:p>
          <a:r>
            <a:rPr lang="sv-SE" sz="1100" b="0" i="0" u="none" strike="noStrike">
              <a:solidFill>
                <a:schemeClr val="dk1"/>
              </a:solidFill>
              <a:effectLst/>
              <a:latin typeface="+mn-lt"/>
              <a:ea typeface="+mn-ea"/>
              <a:cs typeface="+mn-cs"/>
            </a:rPr>
            <a:t>1474</a:t>
          </a:r>
          <a:r>
            <a:rPr lang="sv-SE">
              <a:effectLst/>
            </a:rPr>
            <a:t> </a:t>
          </a:r>
          <a:r>
            <a:rPr lang="sv-SE" sz="1100" b="0" i="0" u="none" strike="noStrike">
              <a:solidFill>
                <a:schemeClr val="dk1"/>
              </a:solidFill>
              <a:effectLst/>
              <a:latin typeface="+mn-lt"/>
              <a:ea typeface="+mn-ea"/>
              <a:cs typeface="+mn-cs"/>
            </a:rPr>
            <a:t>Pågående arbeten, löpande tid</a:t>
          </a:r>
          <a:r>
            <a:rPr lang="sv-SE">
              <a:effectLst/>
            </a:rPr>
            <a:t> </a:t>
          </a:r>
        </a:p>
        <a:p>
          <a:r>
            <a:rPr lang="sv-SE" sz="1100" b="0" i="0" u="none" strike="noStrike">
              <a:solidFill>
                <a:schemeClr val="dk1"/>
              </a:solidFill>
              <a:effectLst/>
              <a:latin typeface="+mn-lt"/>
              <a:ea typeface="+mn-ea"/>
              <a:cs typeface="+mn-cs"/>
            </a:rPr>
            <a:t>1475</a:t>
          </a:r>
          <a:r>
            <a:rPr lang="sv-SE">
              <a:effectLst/>
            </a:rPr>
            <a:t> </a:t>
          </a:r>
          <a:r>
            <a:rPr lang="sv-SE" sz="1100" b="0" i="0" u="none" strike="noStrike">
              <a:solidFill>
                <a:schemeClr val="dk1"/>
              </a:solidFill>
              <a:effectLst/>
              <a:latin typeface="+mn-lt"/>
              <a:ea typeface="+mn-ea"/>
              <a:cs typeface="+mn-cs"/>
            </a:rPr>
            <a:t>Pågående arbeten, löpande utlägg</a:t>
          </a:r>
          <a:r>
            <a:rPr lang="sv-SE">
              <a:effectLst/>
            </a:rPr>
            <a:t> </a:t>
          </a:r>
          <a:endParaRPr lang="sv-SE" sz="1100">
            <a:solidFill>
              <a:srgbClr val="0070C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9525</xdr:colOff>
      <xdr:row>0</xdr:row>
      <xdr:rowOff>161923</xdr:rowOff>
    </xdr:from>
    <xdr:to>
      <xdr:col>20</xdr:col>
      <xdr:colOff>485775</xdr:colOff>
      <xdr:row>30</xdr:row>
      <xdr:rowOff>19050</xdr:rowOff>
    </xdr:to>
    <xdr:sp macro="" textlink="">
      <xdr:nvSpPr>
        <xdr:cNvPr id="4" name="textruta 3">
          <a:extLst>
            <a:ext uri="{FF2B5EF4-FFF2-40B4-BE49-F238E27FC236}">
              <a16:creationId xmlns:a16="http://schemas.microsoft.com/office/drawing/2014/main" id="{6D5079C7-8A94-3220-5D62-80AEA43F6889}"/>
            </a:ext>
          </a:extLst>
        </xdr:cNvPr>
        <xdr:cNvSpPr txBox="1"/>
      </xdr:nvSpPr>
      <xdr:spPr>
        <a:xfrm>
          <a:off x="8534400" y="161923"/>
          <a:ext cx="8401050" cy="545782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K3 23.30. </a:t>
          </a:r>
        </a:p>
        <a:p>
          <a:endParaRPr lang="sv-SE" sz="1100"/>
        </a:p>
        <a:p>
          <a:r>
            <a:rPr lang="sv-SE" sz="1100" b="1" u="sng"/>
            <a:t>Uppdrag</a:t>
          </a:r>
          <a:r>
            <a:rPr lang="sv-SE" sz="1100" b="1" u="sng" baseline="0"/>
            <a:t> till fast pris </a:t>
          </a:r>
        </a:p>
        <a:p>
          <a:endParaRPr lang="sv-SE" sz="1100"/>
        </a:p>
        <a:p>
          <a:r>
            <a:rPr lang="sv-SE" sz="1100" b="0" i="0">
              <a:solidFill>
                <a:schemeClr val="dk1"/>
              </a:solidFill>
              <a:effectLst/>
              <a:latin typeface="+mn-lt"/>
              <a:ea typeface="+mn-ea"/>
              <a:cs typeface="+mn-cs"/>
            </a:rPr>
            <a:t>Uppdrag till fast pris innebär att ersättning utgår med ett fast belopp när uppdraget har slutförts eller när etapper har slutförts. Uppdrag på löpande räkning innebär att ersättningen grundar sig på verklig tidsåtgång.</a:t>
          </a:r>
          <a:endParaRPr lang="sv-SE" sz="1100"/>
        </a:p>
        <a:p>
          <a:endParaRPr lang="sv-SE" sz="1100"/>
        </a:p>
        <a:p>
          <a:r>
            <a:rPr lang="sv-SE" sz="1100" b="0" i="0">
              <a:solidFill>
                <a:schemeClr val="dk1"/>
              </a:solidFill>
              <a:effectLst/>
              <a:latin typeface="+mn-lt"/>
              <a:ea typeface="+mn-ea"/>
              <a:cs typeface="+mn-cs"/>
            </a:rPr>
            <a:t>Pågående arbeten kan vara både på löpande räkning och fastpris som måste periodiseras vid bokslutet för att kunna matcha intäkter och kostnader i resultaträkningen. Här används konto 14xx/16xx samt 24xx konton.</a:t>
          </a:r>
          <a:endParaRPr lang="sv-SE" sz="1100"/>
        </a:p>
        <a:p>
          <a:endParaRPr lang="sv-SE" sz="1100"/>
        </a:p>
        <a:p>
          <a:r>
            <a:rPr lang="sv-SE" sz="1100" b="1" u="sng"/>
            <a:t>Huvudregeln (Successiv vinstavräkning)- </a:t>
          </a:r>
          <a:r>
            <a:rPr lang="sv-SE" sz="1100" b="1" u="sng" baseline="0">
              <a:solidFill>
                <a:srgbClr val="002060"/>
              </a:solidFill>
            </a:rPr>
            <a:t>Befintliga OP Bolag</a:t>
          </a:r>
          <a:endParaRPr lang="sv-SE" sz="1100" b="1" u="sng">
            <a:solidFill>
              <a:srgbClr val="002060"/>
            </a:solidFill>
          </a:endParaRPr>
        </a:p>
        <a:p>
          <a:endParaRPr lang="sv-SE" sz="1100"/>
        </a:p>
        <a:p>
          <a:r>
            <a:rPr lang="sv-SE" sz="1100"/>
            <a:t>För fastprisuppdrag som är pågående per balansdagen ska upplysningar lämnas</a:t>
          </a:r>
          <a:r>
            <a:rPr lang="sv-SE" sz="1100" baseline="0"/>
            <a:t> om upparbetad intäkt och fakturerade belopp.</a:t>
          </a:r>
        </a:p>
        <a:p>
          <a:endParaRPr lang="sv-SE" sz="1100" baseline="0"/>
        </a:p>
        <a:p>
          <a:r>
            <a:rPr lang="sv-SE" sz="1100" baseline="0"/>
            <a:t>Upparbetad men ej fakturerad intäkt hanteras som en omsättningstillgång i årsredovisningen.</a:t>
          </a:r>
        </a:p>
        <a:p>
          <a:endParaRPr lang="sv-SE" sz="1100" baseline="0"/>
        </a:p>
        <a:p>
          <a:r>
            <a:rPr lang="sv-SE" sz="1100" baseline="0"/>
            <a:t>När fakturerade belopp överstiger upparbetade intäkter ska upplysning lämnas till skuldposten.</a:t>
          </a:r>
        </a:p>
        <a:p>
          <a:endParaRPr lang="sv-SE" sz="1100" baseline="0"/>
        </a:p>
        <a:p>
          <a:r>
            <a:rPr lang="sv-SE" sz="1100" baseline="0"/>
            <a:t>Fakturerade men ej upparbetade intäkter hanteras som kortfristig skuld i årsredovisningen.</a:t>
          </a:r>
        </a:p>
        <a:p>
          <a:endParaRPr lang="sv-SE" sz="1100" b="0" u="none" baseline="0">
            <a:solidFill>
              <a:schemeClr val="dk1"/>
            </a:solidFill>
            <a:effectLst/>
            <a:latin typeface="+mn-lt"/>
            <a:ea typeface="+mn-ea"/>
            <a:cs typeface="+mn-cs"/>
          </a:endParaRPr>
        </a:p>
        <a:p>
          <a:endParaRPr lang="sv-SE" sz="1100" b="1" u="sng" baseline="0">
            <a:solidFill>
              <a:schemeClr val="dk1"/>
            </a:solidFill>
            <a:latin typeface="+mn-lt"/>
            <a:ea typeface="+mn-ea"/>
            <a:cs typeface="+mn-cs"/>
          </a:endParaRPr>
        </a:p>
        <a:p>
          <a:r>
            <a:rPr lang="sv-SE" sz="1100" b="1" u="sng" baseline="0"/>
            <a:t>Alternativregeln- </a:t>
          </a:r>
          <a:r>
            <a:rPr lang="sv-SE" sz="1100" b="1" u="sng" baseline="0">
              <a:solidFill>
                <a:schemeClr val="dk1"/>
              </a:solidFill>
              <a:latin typeface="+mn-lt"/>
              <a:ea typeface="+mn-ea"/>
              <a:cs typeface="+mn-cs"/>
            </a:rPr>
            <a:t>Färdigställandemetoden</a:t>
          </a:r>
        </a:p>
        <a:p>
          <a:endParaRPr lang="sv-SE" sz="1100" baseline="0"/>
        </a:p>
        <a:p>
          <a:r>
            <a:rPr lang="sv-SE" sz="1100" baseline="0"/>
            <a:t>Enbart fastprisprojekt får redovisas i K3 enligt huvudregeln och alternativregeln. Uppdrag på löpande räkning får i K3 enbart redovisas enligt huvudregeln.</a:t>
          </a:r>
        </a:p>
        <a:p>
          <a:endParaRPr lang="sv-SE" sz="1100" baseline="0"/>
        </a:p>
        <a:p>
          <a:r>
            <a:rPr lang="sv-SE" sz="1100" baseline="0"/>
            <a:t>I K3 koncernredovisning måste alternativregeln vid fastprisprojekt bryggas till successiv vinstavräkning.</a:t>
          </a:r>
        </a:p>
        <a:p>
          <a:r>
            <a:rPr lang="sv-SE" sz="1100" baseline="0"/>
            <a:t>Detta är anledningen till att det tredje stycket finns med. Den ska stå tom om man inte tillämpar alternativregeln.</a:t>
          </a:r>
        </a:p>
        <a:p>
          <a:endParaRPr lang="sv-SE" sz="1100" baseline="0"/>
        </a:p>
        <a:p>
          <a:r>
            <a:rPr lang="sv-SE" sz="1100"/>
            <a:t>Alternativregeln</a:t>
          </a:r>
          <a:r>
            <a:rPr lang="sv-SE" sz="1100" baseline="0"/>
            <a:t> innebär att man resultatavräknar hela jobbet först när det är helt slutfört och beskattning kan därav senareläggas till ett annat räkenskapsår där projektet står klart.</a:t>
          </a:r>
          <a:endParaRPr lang="sv-SE"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19050</xdr:colOff>
      <xdr:row>0</xdr:row>
      <xdr:rowOff>95250</xdr:rowOff>
    </xdr:from>
    <xdr:to>
      <xdr:col>14</xdr:col>
      <xdr:colOff>247650</xdr:colOff>
      <xdr:row>11</xdr:row>
      <xdr:rowOff>47625</xdr:rowOff>
    </xdr:to>
    <xdr:sp macro="" textlink="">
      <xdr:nvSpPr>
        <xdr:cNvPr id="3" name="textruta 2">
          <a:extLst>
            <a:ext uri="{FF2B5EF4-FFF2-40B4-BE49-F238E27FC236}">
              <a16:creationId xmlns:a16="http://schemas.microsoft.com/office/drawing/2014/main" id="{234FE4EE-65FE-B816-7D2A-EE4BAA2A6A5C}"/>
            </a:ext>
          </a:extLst>
        </xdr:cNvPr>
        <xdr:cNvSpPr txBox="1"/>
      </xdr:nvSpPr>
      <xdr:spPr>
        <a:xfrm>
          <a:off x="8667750" y="95250"/>
          <a:ext cx="3886200" cy="22288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Banktillgodohavanden ligger bokförda</a:t>
          </a:r>
          <a:r>
            <a:rPr lang="sv-SE" sz="1100" baseline="0"/>
            <a:t> i kontoklass 19XX.</a:t>
          </a:r>
        </a:p>
        <a:p>
          <a:endParaRPr lang="sv-SE" sz="1100" baseline="0"/>
        </a:p>
        <a:p>
          <a:r>
            <a:rPr lang="sv-SE" sz="1100" baseline="0"/>
            <a:t>Tillgodohavanden på koncernkonto ska ligga bokfört på konto 1663. Har man negativ fordran läggs den med här med ett minustecken framför.</a:t>
          </a:r>
        </a:p>
        <a:p>
          <a:endParaRPr lang="sv-SE" sz="1100" baseline="0"/>
        </a:p>
        <a:p>
          <a:r>
            <a:rPr lang="sv-SE" sz="1100" baseline="0"/>
            <a:t>Kortfristiga, likvida placeringar som lätt kan omvandlas till ett känt belopp och som är utsatta för en obetydlig risk för värdefluktuationer anges också här.</a:t>
          </a:r>
        </a:p>
        <a:p>
          <a:endParaRPr lang="sv-SE" sz="1100" baseline="0"/>
        </a:p>
        <a:p>
          <a:r>
            <a:rPr lang="sv-SE" sz="1100" baseline="0"/>
            <a:t>Ange även för fg år då notens utformning ändrats.</a:t>
          </a:r>
        </a:p>
        <a:p>
          <a:endParaRPr lang="sv-SE" sz="1100" baseline="0"/>
        </a:p>
        <a:p>
          <a:endParaRPr lang="sv-SE"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19050</xdr:colOff>
      <xdr:row>17</xdr:row>
      <xdr:rowOff>57150</xdr:rowOff>
    </xdr:from>
    <xdr:to>
      <xdr:col>12</xdr:col>
      <xdr:colOff>66675</xdr:colOff>
      <xdr:row>25</xdr:row>
      <xdr:rowOff>57150</xdr:rowOff>
    </xdr:to>
    <xdr:sp macro="" textlink="">
      <xdr:nvSpPr>
        <xdr:cNvPr id="2" name="textruta 1">
          <a:extLst>
            <a:ext uri="{FF2B5EF4-FFF2-40B4-BE49-F238E27FC236}">
              <a16:creationId xmlns:a16="http://schemas.microsoft.com/office/drawing/2014/main" id="{E07F5EEA-D291-E35F-A216-F3FE214EEAB5}"/>
            </a:ext>
          </a:extLst>
        </xdr:cNvPr>
        <xdr:cNvSpPr txBox="1"/>
      </xdr:nvSpPr>
      <xdr:spPr>
        <a:xfrm>
          <a:off x="10677525" y="4038600"/>
          <a:ext cx="4619625" cy="16002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Finns immateriella tillgångar i bolagets balans behöver koncernekonomi veta vad som köpts in under året, vad som inkommit genom bolagsköp eller fusion, vad som avyttrats eller sålt (och</a:t>
          </a:r>
          <a:r>
            <a:rPr lang="sv-SE" sz="1100" baseline="0"/>
            <a:t> </a:t>
          </a:r>
          <a:r>
            <a:rPr lang="sv-SE" sz="1100"/>
            <a:t>till vilket pris) samt räkenskapsårets</a:t>
          </a:r>
          <a:r>
            <a:rPr lang="sv-SE" sz="1100" baseline="0"/>
            <a:t> fulla</a:t>
          </a:r>
          <a:r>
            <a:rPr lang="sv-SE" sz="1100"/>
            <a:t> avskrivningar.</a:t>
          </a:r>
        </a:p>
        <a:p>
          <a:endParaRPr lang="sv-SE" sz="1100"/>
        </a:p>
        <a:p>
          <a:r>
            <a:rPr lang="sv-SE" sz="1100"/>
            <a:t>Ingångsvärdet ska</a:t>
          </a:r>
          <a:r>
            <a:rPr lang="sv-SE" sz="1100" baseline="0"/>
            <a:t> motsvara fg år årsredovisnings utgående värde.  </a:t>
          </a:r>
        </a:p>
        <a:p>
          <a:endParaRPr lang="sv-SE" sz="1100" baseline="0"/>
        </a:p>
        <a:p>
          <a:r>
            <a:rPr lang="sv-SE" sz="1100" baseline="0"/>
            <a:t>Bolaget redovisar i sin redovisningsvaluta. Finns tillgångar i annan valuta som omräknats ska valutaomräkningseffekten anges.  </a:t>
          </a:r>
          <a:endParaRPr lang="sv-SE" sz="1100"/>
        </a:p>
      </xdr:txBody>
    </xdr:sp>
    <xdr:clientData/>
  </xdr:twoCellAnchor>
  <xdr:twoCellAnchor editAs="oneCell">
    <xdr:from>
      <xdr:col>11</xdr:col>
      <xdr:colOff>444500</xdr:colOff>
      <xdr:row>2</xdr:row>
      <xdr:rowOff>0</xdr:rowOff>
    </xdr:from>
    <xdr:to>
      <xdr:col>21</xdr:col>
      <xdr:colOff>241619</xdr:colOff>
      <xdr:row>10</xdr:row>
      <xdr:rowOff>165204</xdr:rowOff>
    </xdr:to>
    <xdr:pic>
      <xdr:nvPicPr>
        <xdr:cNvPr id="3" name="Bildobjekt 2">
          <a:extLst>
            <a:ext uri="{FF2B5EF4-FFF2-40B4-BE49-F238E27FC236}">
              <a16:creationId xmlns:a16="http://schemas.microsoft.com/office/drawing/2014/main" id="{B0702225-7F63-1FD6-B1A2-C6F101B6E847}"/>
            </a:ext>
          </a:extLst>
        </xdr:cNvPr>
        <xdr:cNvPicPr>
          <a:picLocks noChangeAspect="1"/>
        </xdr:cNvPicPr>
      </xdr:nvPicPr>
      <xdr:blipFill>
        <a:blip xmlns:r="http://schemas.openxmlformats.org/officeDocument/2006/relationships" r:embed="rId1"/>
        <a:stretch>
          <a:fillRect/>
        </a:stretch>
      </xdr:blipFill>
      <xdr:spPr>
        <a:xfrm>
          <a:off x="15748000" y="419100"/>
          <a:ext cx="6210619" cy="202575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15</xdr:row>
      <xdr:rowOff>123825</xdr:rowOff>
    </xdr:from>
    <xdr:to>
      <xdr:col>12</xdr:col>
      <xdr:colOff>400050</xdr:colOff>
      <xdr:row>27</xdr:row>
      <xdr:rowOff>9525</xdr:rowOff>
    </xdr:to>
    <xdr:sp macro="" textlink="">
      <xdr:nvSpPr>
        <xdr:cNvPr id="2" name="textruta 1">
          <a:extLst>
            <a:ext uri="{FF2B5EF4-FFF2-40B4-BE49-F238E27FC236}">
              <a16:creationId xmlns:a16="http://schemas.microsoft.com/office/drawing/2014/main" id="{C3BA1CE8-D5C5-F471-179F-274379E86231}"/>
            </a:ext>
          </a:extLst>
        </xdr:cNvPr>
        <xdr:cNvSpPr txBox="1"/>
      </xdr:nvSpPr>
      <xdr:spPr>
        <a:xfrm>
          <a:off x="10210800" y="3571875"/>
          <a:ext cx="4829175" cy="24860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solidFill>
                <a:schemeClr val="dk1"/>
              </a:solidFill>
              <a:effectLst/>
              <a:latin typeface="+mn-lt"/>
              <a:ea typeface="+mn-ea"/>
              <a:cs typeface="+mn-cs"/>
            </a:rPr>
            <a:t>Finns materiella tillgångar i bolagets balans behöver koncernekonomi veta vad som köpts in under året, vad som inkommit genom bolagsköp eller fusion, vad som avyttrats eller sålt (och</a:t>
          </a:r>
          <a:r>
            <a:rPr lang="sv-SE" sz="1100" baseline="0">
              <a:solidFill>
                <a:schemeClr val="dk1"/>
              </a:solidFill>
              <a:effectLst/>
              <a:latin typeface="+mn-lt"/>
              <a:ea typeface="+mn-ea"/>
              <a:cs typeface="+mn-cs"/>
            </a:rPr>
            <a:t> </a:t>
          </a:r>
          <a:r>
            <a:rPr lang="sv-SE" sz="1100">
              <a:solidFill>
                <a:schemeClr val="dk1"/>
              </a:solidFill>
              <a:effectLst/>
              <a:latin typeface="+mn-lt"/>
              <a:ea typeface="+mn-ea"/>
              <a:cs typeface="+mn-cs"/>
            </a:rPr>
            <a:t>till vilket pris) samt räkenskapsårets</a:t>
          </a:r>
          <a:r>
            <a:rPr lang="sv-SE" sz="1100" baseline="0">
              <a:solidFill>
                <a:schemeClr val="dk1"/>
              </a:solidFill>
              <a:effectLst/>
              <a:latin typeface="+mn-lt"/>
              <a:ea typeface="+mn-ea"/>
              <a:cs typeface="+mn-cs"/>
            </a:rPr>
            <a:t> fulla</a:t>
          </a:r>
          <a:r>
            <a:rPr lang="sv-SE" sz="1100">
              <a:solidFill>
                <a:schemeClr val="dk1"/>
              </a:solidFill>
              <a:effectLst/>
              <a:latin typeface="+mn-lt"/>
              <a:ea typeface="+mn-ea"/>
              <a:cs typeface="+mn-cs"/>
            </a:rPr>
            <a:t> avskrivningar.</a:t>
          </a:r>
        </a:p>
        <a:p>
          <a:endParaRPr lang="sv-SE">
            <a:effectLst/>
          </a:endParaRPr>
        </a:p>
        <a:p>
          <a:r>
            <a:rPr lang="sv-SE" sz="1100">
              <a:solidFill>
                <a:schemeClr val="dk1"/>
              </a:solidFill>
              <a:effectLst/>
              <a:latin typeface="+mn-lt"/>
              <a:ea typeface="+mn-ea"/>
              <a:cs typeface="+mn-cs"/>
            </a:rPr>
            <a:t>Ingångsvärdet ska</a:t>
          </a:r>
          <a:r>
            <a:rPr lang="sv-SE" sz="1100" baseline="0">
              <a:solidFill>
                <a:schemeClr val="dk1"/>
              </a:solidFill>
              <a:effectLst/>
              <a:latin typeface="+mn-lt"/>
              <a:ea typeface="+mn-ea"/>
              <a:cs typeface="+mn-cs"/>
            </a:rPr>
            <a:t> motsvara fg år årsredovisnings utgående värde.  </a:t>
          </a:r>
          <a:endParaRPr lang="sv-SE">
            <a:effectLst/>
          </a:endParaRPr>
        </a:p>
        <a:p>
          <a:endParaRPr lang="sv-SE" sz="1100" baseline="0">
            <a:solidFill>
              <a:schemeClr val="dk1"/>
            </a:solidFill>
            <a:effectLst/>
            <a:latin typeface="+mn-lt"/>
            <a:ea typeface="+mn-ea"/>
            <a:cs typeface="+mn-cs"/>
          </a:endParaRPr>
        </a:p>
        <a:p>
          <a:r>
            <a:rPr lang="sv-SE" sz="1100" baseline="0">
              <a:solidFill>
                <a:schemeClr val="dk1"/>
              </a:solidFill>
              <a:effectLst/>
              <a:latin typeface="+mn-lt"/>
              <a:ea typeface="+mn-ea"/>
              <a:cs typeface="+mn-cs"/>
            </a:rPr>
            <a:t>Bolaget redovisar i sin redovisningsvaluta. Finns tillgångar i annan valuta som omräknats ska valutaomräkningseffekten anges.  </a:t>
          </a:r>
          <a:endParaRPr lang="sv-SE">
            <a:effectLst/>
          </a:endParaRPr>
        </a:p>
        <a:p>
          <a:endParaRPr lang="sv-SE" sz="1100"/>
        </a:p>
        <a:p>
          <a:r>
            <a:rPr lang="sv-SE" sz="1100"/>
            <a:t>Nedslagda utgifter</a:t>
          </a:r>
          <a:r>
            <a:rPr lang="sv-SE" sz="1100" baseline="0"/>
            <a:t> på annans fastighet om man har hyreskontrakt på fastigheten.</a:t>
          </a:r>
        </a:p>
        <a:p>
          <a:endParaRPr lang="sv-SE" sz="1100" baseline="0"/>
        </a:p>
        <a:p>
          <a:r>
            <a:rPr lang="sv-SE" sz="1100" baseline="0"/>
            <a:t>När man säljer en företagsbil bör avyttringen gå via tillgångskonto men </a:t>
          </a:r>
          <a:r>
            <a:rPr lang="sv-SE" sz="1100" u="sng" baseline="0">
              <a:solidFill>
                <a:srgbClr val="C00000"/>
              </a:solidFill>
            </a:rPr>
            <a:t>ej</a:t>
          </a:r>
          <a:r>
            <a:rPr lang="sv-SE" sz="1100" baseline="0"/>
            <a:t> när det gäller leasingbil. </a:t>
          </a:r>
          <a:endParaRPr lang="sv-SE" sz="1100"/>
        </a:p>
      </xdr:txBody>
    </xdr:sp>
    <xdr:clientData/>
  </xdr:twoCellAnchor>
  <xdr:twoCellAnchor editAs="oneCell">
    <xdr:from>
      <xdr:col>9</xdr:col>
      <xdr:colOff>368300</xdr:colOff>
      <xdr:row>1</xdr:row>
      <xdr:rowOff>152400</xdr:rowOff>
    </xdr:from>
    <xdr:to>
      <xdr:col>19</xdr:col>
      <xdr:colOff>165419</xdr:colOff>
      <xdr:row>10</xdr:row>
      <xdr:rowOff>184254</xdr:rowOff>
    </xdr:to>
    <xdr:pic>
      <xdr:nvPicPr>
        <xdr:cNvPr id="3" name="Bildobjekt 2">
          <a:extLst>
            <a:ext uri="{FF2B5EF4-FFF2-40B4-BE49-F238E27FC236}">
              <a16:creationId xmlns:a16="http://schemas.microsoft.com/office/drawing/2014/main" id="{306DB1BB-033D-B3FC-719C-A9B904D6DF80}"/>
            </a:ext>
          </a:extLst>
        </xdr:cNvPr>
        <xdr:cNvPicPr>
          <a:picLocks noChangeAspect="1"/>
        </xdr:cNvPicPr>
      </xdr:nvPicPr>
      <xdr:blipFill>
        <a:blip xmlns:r="http://schemas.openxmlformats.org/officeDocument/2006/relationships" r:embed="rId1"/>
        <a:stretch>
          <a:fillRect/>
        </a:stretch>
      </xdr:blipFill>
      <xdr:spPr>
        <a:xfrm>
          <a:off x="13792200" y="387350"/>
          <a:ext cx="6210619" cy="202575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590550</xdr:colOff>
      <xdr:row>5</xdr:row>
      <xdr:rowOff>47624</xdr:rowOff>
    </xdr:from>
    <xdr:to>
      <xdr:col>14</xdr:col>
      <xdr:colOff>19050</xdr:colOff>
      <xdr:row>12</xdr:row>
      <xdr:rowOff>161925</xdr:rowOff>
    </xdr:to>
    <xdr:sp macro="" textlink="">
      <xdr:nvSpPr>
        <xdr:cNvPr id="2" name="textruta 1">
          <a:extLst>
            <a:ext uri="{FF2B5EF4-FFF2-40B4-BE49-F238E27FC236}">
              <a16:creationId xmlns:a16="http://schemas.microsoft.com/office/drawing/2014/main" id="{38FD8DEB-8221-4550-B88D-4C8CCEB0EC8F}"/>
            </a:ext>
          </a:extLst>
        </xdr:cNvPr>
        <xdr:cNvSpPr txBox="1"/>
      </xdr:nvSpPr>
      <xdr:spPr>
        <a:xfrm>
          <a:off x="9601200" y="1066799"/>
          <a:ext cx="4305300" cy="139065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Finns värdepappersinnehav</a:t>
          </a:r>
          <a:r>
            <a:rPr lang="sv-SE" sz="1100" baseline="0"/>
            <a:t> i ett intressebolagbolag ska andelen anges som andel i antal, % samt redovisat värde i balansräkningen. Årets andel av resultatet ska anges samt del av det egna kapitalet. </a:t>
          </a:r>
        </a:p>
        <a:p>
          <a:endParaRPr lang="sv-SE" sz="1100" baseline="0"/>
        </a:p>
        <a:p>
          <a:r>
            <a:rPr lang="sv-SE" b="0" i="0">
              <a:solidFill>
                <a:srgbClr val="202124"/>
              </a:solidFill>
              <a:effectLst/>
              <a:latin typeface="+mj-lt"/>
            </a:rPr>
            <a:t>I årsredovisningslagen definieras ett intresseföretag som ett företag där innehavet inte ger ett bestämmande inflytande, men där innehavet är minst 20% av rösterna.</a:t>
          </a:r>
          <a:endParaRPr lang="sv-SE" sz="1100" b="0" baseline="0">
            <a:latin typeface="+mj-lt"/>
          </a:endParaRPr>
        </a:p>
        <a:p>
          <a:endParaRPr lang="sv-SE" sz="1100" baseline="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488950</xdr:colOff>
      <xdr:row>14</xdr:row>
      <xdr:rowOff>0</xdr:rowOff>
    </xdr:from>
    <xdr:to>
      <xdr:col>29</xdr:col>
      <xdr:colOff>178706</xdr:colOff>
      <xdr:row>30</xdr:row>
      <xdr:rowOff>86939</xdr:rowOff>
    </xdr:to>
    <xdr:pic>
      <xdr:nvPicPr>
        <xdr:cNvPr id="2" name="Bildobjekt 1">
          <a:extLst>
            <a:ext uri="{FF2B5EF4-FFF2-40B4-BE49-F238E27FC236}">
              <a16:creationId xmlns:a16="http://schemas.microsoft.com/office/drawing/2014/main" id="{DE4F1C2B-7E4F-EBAD-0FC4-2BB236FEFBFA}"/>
            </a:ext>
          </a:extLst>
        </xdr:cNvPr>
        <xdr:cNvPicPr>
          <a:picLocks noChangeAspect="1"/>
        </xdr:cNvPicPr>
      </xdr:nvPicPr>
      <xdr:blipFill>
        <a:blip xmlns:r="http://schemas.openxmlformats.org/officeDocument/2006/relationships" r:embed="rId1"/>
        <a:stretch>
          <a:fillRect/>
        </a:stretch>
      </xdr:blipFill>
      <xdr:spPr>
        <a:xfrm>
          <a:off x="8159750" y="2565400"/>
          <a:ext cx="15202806" cy="304603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5</xdr:col>
      <xdr:colOff>85725</xdr:colOff>
      <xdr:row>0</xdr:row>
      <xdr:rowOff>209550</xdr:rowOff>
    </xdr:from>
    <xdr:to>
      <xdr:col>11</xdr:col>
      <xdr:colOff>409575</xdr:colOff>
      <xdr:row>4</xdr:row>
      <xdr:rowOff>38100</xdr:rowOff>
    </xdr:to>
    <xdr:sp macro="" textlink="">
      <xdr:nvSpPr>
        <xdr:cNvPr id="2" name="textruta 1">
          <a:extLst>
            <a:ext uri="{FF2B5EF4-FFF2-40B4-BE49-F238E27FC236}">
              <a16:creationId xmlns:a16="http://schemas.microsoft.com/office/drawing/2014/main" id="{B686FC00-6208-AF19-351A-4066F1730562}"/>
            </a:ext>
          </a:extLst>
        </xdr:cNvPr>
        <xdr:cNvSpPr txBox="1"/>
      </xdr:nvSpPr>
      <xdr:spPr>
        <a:xfrm>
          <a:off x="8543925" y="209550"/>
          <a:ext cx="3343275" cy="6572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Finns värdepappersinnehav</a:t>
          </a:r>
          <a:r>
            <a:rPr lang="sv-SE" sz="1100" baseline="0"/>
            <a:t> i andra bolag som inte är intressebolag eller dotterbolag? Dvs lägre än 20% inflytande? Då ska uppgifter anges här. </a:t>
          </a:r>
          <a:endParaRPr lang="sv-SE"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600075</xdr:colOff>
      <xdr:row>0</xdr:row>
      <xdr:rowOff>104775</xdr:rowOff>
    </xdr:from>
    <xdr:to>
      <xdr:col>11</xdr:col>
      <xdr:colOff>476250</xdr:colOff>
      <xdr:row>4</xdr:row>
      <xdr:rowOff>85725</xdr:rowOff>
    </xdr:to>
    <xdr:sp macro="" textlink="">
      <xdr:nvSpPr>
        <xdr:cNvPr id="3" name="textruta 2">
          <a:extLst>
            <a:ext uri="{FF2B5EF4-FFF2-40B4-BE49-F238E27FC236}">
              <a16:creationId xmlns:a16="http://schemas.microsoft.com/office/drawing/2014/main" id="{F2BCD387-8E0B-492A-A15C-EE2041BE4B2E}"/>
            </a:ext>
          </a:extLst>
        </xdr:cNvPr>
        <xdr:cNvSpPr txBox="1"/>
      </xdr:nvSpPr>
      <xdr:spPr>
        <a:xfrm>
          <a:off x="8915400" y="104775"/>
          <a:ext cx="3343275" cy="8096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Finns värdepappersinnehav</a:t>
          </a:r>
          <a:r>
            <a:rPr lang="sv-SE" sz="1100" baseline="0"/>
            <a:t> i andra bolag som inte är intressebolag eller dotterbolag? Dvs lägre än 20% inflytande? Då ska uppgifter anges här. </a:t>
          </a:r>
          <a:endParaRPr lang="sv-SE"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600074</xdr:colOff>
      <xdr:row>0</xdr:row>
      <xdr:rowOff>47625</xdr:rowOff>
    </xdr:from>
    <xdr:to>
      <xdr:col>15</xdr:col>
      <xdr:colOff>142875</xdr:colOff>
      <xdr:row>11</xdr:row>
      <xdr:rowOff>180975</xdr:rowOff>
    </xdr:to>
    <xdr:sp macro="" textlink="">
      <xdr:nvSpPr>
        <xdr:cNvPr id="2" name="textruta 1">
          <a:extLst>
            <a:ext uri="{FF2B5EF4-FFF2-40B4-BE49-F238E27FC236}">
              <a16:creationId xmlns:a16="http://schemas.microsoft.com/office/drawing/2014/main" id="{C994F6D0-2174-D422-48F6-A6D46A1DAD6D}"/>
            </a:ext>
          </a:extLst>
        </xdr:cNvPr>
        <xdr:cNvSpPr txBox="1"/>
      </xdr:nvSpPr>
      <xdr:spPr>
        <a:xfrm>
          <a:off x="8496299" y="47625"/>
          <a:ext cx="5029201" cy="22383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0" i="0">
              <a:solidFill>
                <a:schemeClr val="dk1"/>
              </a:solidFill>
              <a:effectLst/>
              <a:latin typeface="+mn-lt"/>
              <a:ea typeface="+mn-ea"/>
              <a:cs typeface="+mn-cs"/>
            </a:rPr>
            <a:t>I balansräkningen ska fordringar vara uppdelade i kortfristiga och långfristiga fordringar. Skillnaden mellan en kortfristig och en långfristig fordran är att en kortfristig fordran förfaller till betalning inom 12 månader från balansdagen (bedömningen görs utifrån fordringens löptid) medan en långfristig fordran förfaller till betalning senare än så. </a:t>
          </a:r>
        </a:p>
        <a:p>
          <a:endParaRPr lang="sv-SE">
            <a:effectLst/>
          </a:endParaRPr>
        </a:p>
        <a:p>
          <a:r>
            <a:rPr lang="sv-SE" sz="1100" b="0" i="0">
              <a:solidFill>
                <a:schemeClr val="dk1"/>
              </a:solidFill>
              <a:effectLst/>
              <a:latin typeface="+mn-lt"/>
              <a:ea typeface="+mn-ea"/>
              <a:cs typeface="+mn-cs"/>
            </a:rPr>
            <a:t>Har bolaget fordringar som förfaller senare än fem år efter balansdagen (räkenskapsårets sista dag) ska en upplysning lämnas i not. Upplysningen ska avse den del av de totala fordringar som förfaller senare än fem år efter balansdagen. </a:t>
          </a:r>
        </a:p>
        <a:p>
          <a:endParaRPr lang="sv-SE">
            <a:effectLst/>
          </a:endParaRPr>
        </a:p>
        <a:p>
          <a:r>
            <a:rPr lang="sv-SE" sz="1100" b="0" i="0">
              <a:solidFill>
                <a:schemeClr val="dk1"/>
              </a:solidFill>
              <a:effectLst/>
              <a:latin typeface="+mn-lt"/>
              <a:ea typeface="+mn-ea"/>
              <a:cs typeface="+mn-cs"/>
            </a:rPr>
            <a:t>Här ingår även interna långfristiga koncernmellanhavanden.</a:t>
          </a:r>
        </a:p>
        <a:p>
          <a:r>
            <a:rPr lang="sv-SE" sz="1100" b="0" i="0">
              <a:solidFill>
                <a:schemeClr val="dk1"/>
              </a:solidFill>
              <a:effectLst/>
              <a:latin typeface="+mn-lt"/>
              <a:ea typeface="+mn-ea"/>
              <a:cs typeface="+mn-cs"/>
            </a:rPr>
            <a:t>(Ange ej andelar i koncernbolag här)</a:t>
          </a:r>
          <a:endParaRPr lang="sv-SE">
            <a:effectLst/>
          </a:endParaRPr>
        </a:p>
        <a:p>
          <a:endParaRPr lang="sv-SE"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7</xdr:col>
      <xdr:colOff>9525</xdr:colOff>
      <xdr:row>0</xdr:row>
      <xdr:rowOff>171451</xdr:rowOff>
    </xdr:from>
    <xdr:to>
      <xdr:col>17</xdr:col>
      <xdr:colOff>123825</xdr:colOff>
      <xdr:row>11</xdr:row>
      <xdr:rowOff>66676</xdr:rowOff>
    </xdr:to>
    <xdr:sp macro="" textlink="">
      <xdr:nvSpPr>
        <xdr:cNvPr id="2" name="textruta 1">
          <a:extLst>
            <a:ext uri="{FF2B5EF4-FFF2-40B4-BE49-F238E27FC236}">
              <a16:creationId xmlns:a16="http://schemas.microsoft.com/office/drawing/2014/main" id="{42435C29-6515-1BB7-937C-9657EF41257D}"/>
            </a:ext>
          </a:extLst>
        </xdr:cNvPr>
        <xdr:cNvSpPr txBox="1"/>
      </xdr:nvSpPr>
      <xdr:spPr>
        <a:xfrm>
          <a:off x="8515350" y="171451"/>
          <a:ext cx="6210300" cy="2000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0" i="0">
              <a:solidFill>
                <a:schemeClr val="dk1"/>
              </a:solidFill>
              <a:effectLst/>
              <a:latin typeface="+mn-lt"/>
              <a:ea typeface="+mn-ea"/>
              <a:cs typeface="+mn-cs"/>
            </a:rPr>
            <a:t>I balansräkningen ska skulderna vara uppdelade i kortfristiga och långfristiga skulder. Skillnaden mellan en kortfristig och en långfristig skuld är att en kortfristig skuld förfaller till betalning inom 12 månader från balansdagen (bedömningen görs utifrån skuldens löptid) medan en långfristig skuld förfaller till betalning senare än så. </a:t>
          </a:r>
        </a:p>
        <a:p>
          <a:endParaRPr lang="sv-SE" sz="1100" b="0" i="0">
            <a:solidFill>
              <a:schemeClr val="dk1"/>
            </a:solidFill>
            <a:effectLst/>
            <a:latin typeface="+mn-lt"/>
            <a:ea typeface="+mn-ea"/>
            <a:cs typeface="+mn-cs"/>
          </a:endParaRPr>
        </a:p>
        <a:p>
          <a:r>
            <a:rPr lang="sv-SE" sz="1100" b="0" i="0">
              <a:solidFill>
                <a:schemeClr val="dk1"/>
              </a:solidFill>
              <a:effectLst/>
              <a:latin typeface="+mn-lt"/>
              <a:ea typeface="+mn-ea"/>
              <a:cs typeface="+mn-cs"/>
            </a:rPr>
            <a:t>Har bolaget skulder som förfaller senare än fem år efter balansdagen (räkenskapsårets sista dag) ska en upplysning lämnas i not. Upplysningen ska avse den del av de totala skulderna som förfaller senare än fem år efter balansdagen. </a:t>
          </a:r>
        </a:p>
        <a:p>
          <a:endParaRPr lang="sv-SE" sz="1100" b="0" i="0">
            <a:solidFill>
              <a:schemeClr val="dk1"/>
            </a:solidFill>
            <a:effectLst/>
            <a:latin typeface="+mn-lt"/>
            <a:ea typeface="+mn-ea"/>
            <a:cs typeface="+mn-cs"/>
          </a:endParaRPr>
        </a:p>
        <a:p>
          <a:r>
            <a:rPr lang="sv-SE" sz="1100" b="0" i="0">
              <a:solidFill>
                <a:schemeClr val="dk1"/>
              </a:solidFill>
              <a:effectLst/>
              <a:latin typeface="+mn-lt"/>
              <a:ea typeface="+mn-ea"/>
              <a:cs typeface="+mn-cs"/>
            </a:rPr>
            <a:t>Här ingår även interna långfristiga koncernmellanhavanden.</a:t>
          </a:r>
          <a:endParaRPr lang="sv-SE"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581025</xdr:colOff>
      <xdr:row>0</xdr:row>
      <xdr:rowOff>76202</xdr:rowOff>
    </xdr:from>
    <xdr:to>
      <xdr:col>13</xdr:col>
      <xdr:colOff>419100</xdr:colOff>
      <xdr:row>6</xdr:row>
      <xdr:rowOff>57150</xdr:rowOff>
    </xdr:to>
    <xdr:sp macro="" textlink="">
      <xdr:nvSpPr>
        <xdr:cNvPr id="2" name="textruta 1">
          <a:extLst>
            <a:ext uri="{FF2B5EF4-FFF2-40B4-BE49-F238E27FC236}">
              <a16:creationId xmlns:a16="http://schemas.microsoft.com/office/drawing/2014/main" id="{F4F55450-9345-8CE5-3F0E-AFFD69053B68}"/>
            </a:ext>
          </a:extLst>
        </xdr:cNvPr>
        <xdr:cNvSpPr txBox="1"/>
      </xdr:nvSpPr>
      <xdr:spPr>
        <a:xfrm>
          <a:off x="8477250" y="76202"/>
          <a:ext cx="4105275" cy="109537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Har man lån i </a:t>
          </a:r>
          <a:r>
            <a:rPr lang="sv-SE" sz="1100" b="1"/>
            <a:t>bank</a:t>
          </a:r>
          <a:r>
            <a:rPr lang="sv-SE" sz="1100"/>
            <a:t> ska den delas upp i kortfristig del (12 mån),</a:t>
          </a:r>
          <a:r>
            <a:rPr lang="sv-SE" sz="1100" baseline="0"/>
            <a:t> </a:t>
          </a:r>
        </a:p>
        <a:p>
          <a:r>
            <a:rPr lang="sv-SE" sz="1100" baseline="0"/>
            <a:t>5 år efter årsbokslutet och senare än fem år efter detta årsbokslut.</a:t>
          </a:r>
        </a:p>
        <a:p>
          <a:endParaRPr lang="sv-SE" sz="1100" baseline="0"/>
        </a:p>
        <a:p>
          <a:r>
            <a:rPr lang="sv-SE" sz="1100">
              <a:solidFill>
                <a:schemeClr val="dk1"/>
              </a:solidFill>
              <a:effectLst/>
              <a:latin typeface="+mn-lt"/>
              <a:ea typeface="+mn-ea"/>
              <a:cs typeface="+mn-cs"/>
            </a:rPr>
            <a:t>Chekräkningskredit och lånekredit: </a:t>
          </a:r>
          <a:endParaRPr lang="sv-SE">
            <a:effectLst/>
          </a:endParaRPr>
        </a:p>
        <a:p>
          <a:r>
            <a:rPr lang="sv-SE" sz="1100" b="0">
              <a:solidFill>
                <a:schemeClr val="dk1"/>
              </a:solidFill>
              <a:effectLst/>
              <a:latin typeface="+mn-lt"/>
              <a:ea typeface="+mn-ea"/>
              <a:cs typeface="+mn-cs"/>
            </a:rPr>
            <a:t>Berör</a:t>
          </a:r>
          <a:r>
            <a:rPr lang="sv-SE" sz="1100" b="0" baseline="0">
              <a:solidFill>
                <a:schemeClr val="dk1"/>
              </a:solidFill>
              <a:effectLst/>
              <a:latin typeface="+mn-lt"/>
              <a:ea typeface="+mn-ea"/>
              <a:cs typeface="+mn-cs"/>
            </a:rPr>
            <a:t> Omegapont Norge AS samt Alpha BidCo</a:t>
          </a:r>
          <a:endParaRPr lang="sv-SE">
            <a:effectLst/>
          </a:endParaRPr>
        </a:p>
      </xdr:txBody>
    </xdr:sp>
    <xdr:clientData/>
  </xdr:twoCellAnchor>
  <xdr:twoCellAnchor>
    <xdr:from>
      <xdr:col>6</xdr:col>
      <xdr:colOff>581025</xdr:colOff>
      <xdr:row>7</xdr:row>
      <xdr:rowOff>47625</xdr:rowOff>
    </xdr:from>
    <xdr:to>
      <xdr:col>13</xdr:col>
      <xdr:colOff>438150</xdr:colOff>
      <xdr:row>15</xdr:row>
      <xdr:rowOff>123825</xdr:rowOff>
    </xdr:to>
    <xdr:sp macro="" textlink="">
      <xdr:nvSpPr>
        <xdr:cNvPr id="3" name="textruta 2">
          <a:extLst>
            <a:ext uri="{FF2B5EF4-FFF2-40B4-BE49-F238E27FC236}">
              <a16:creationId xmlns:a16="http://schemas.microsoft.com/office/drawing/2014/main" id="{2C9041FA-A611-0D8F-084E-37656FFBBCE0}"/>
            </a:ext>
          </a:extLst>
        </xdr:cNvPr>
        <xdr:cNvSpPr txBox="1"/>
      </xdr:nvSpPr>
      <xdr:spPr>
        <a:xfrm>
          <a:off x="8477250" y="1352550"/>
          <a:ext cx="4124325" cy="16383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Koncernens</a:t>
          </a:r>
          <a:r>
            <a:rPr lang="sv-SE" sz="1100" baseline="0"/>
            <a:t> stora banklån förväntas oundvikligen refinansieras även om den avtalsmässiga löptiden förfaller i närtid- därav utgår vi (med stöd av PWC) att lånen anges förfalla även senare än 5 år trots att lånen inte påbörjat omförhandling.</a:t>
          </a:r>
        </a:p>
        <a:p>
          <a:endParaRPr lang="sv-SE" sz="1100" baseline="0"/>
        </a:p>
        <a:p>
          <a:r>
            <a:rPr lang="sv-SE" sz="1100" baseline="0"/>
            <a:t>Dock bör vi komplettera med text i årsredovisningen att lånen är under förhandling eller kommer refinansieras vilket speglar förfallotidpunkten i noten.</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10</xdr:col>
      <xdr:colOff>600074</xdr:colOff>
      <xdr:row>1</xdr:row>
      <xdr:rowOff>114300</xdr:rowOff>
    </xdr:from>
    <xdr:to>
      <xdr:col>16</xdr:col>
      <xdr:colOff>419099</xdr:colOff>
      <xdr:row>4</xdr:row>
      <xdr:rowOff>19050</xdr:rowOff>
    </xdr:to>
    <xdr:sp macro="" textlink="">
      <xdr:nvSpPr>
        <xdr:cNvPr id="2" name="textruta 1">
          <a:extLst>
            <a:ext uri="{FF2B5EF4-FFF2-40B4-BE49-F238E27FC236}">
              <a16:creationId xmlns:a16="http://schemas.microsoft.com/office/drawing/2014/main" id="{DADAF177-3579-6DC7-BA21-F430BCAC1F11}"/>
            </a:ext>
          </a:extLst>
        </xdr:cNvPr>
        <xdr:cNvSpPr txBox="1"/>
      </xdr:nvSpPr>
      <xdr:spPr>
        <a:xfrm>
          <a:off x="8734424" y="314325"/>
          <a:ext cx="3476625" cy="476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Här anges företagsinteckningar,</a:t>
          </a:r>
          <a:r>
            <a:rPr lang="sv-SE" sz="1100" baseline="0"/>
            <a:t> hyresgaratier och pantsättningar etc. Sk. off-balance uppgifter. </a:t>
          </a:r>
          <a:endParaRPr lang="sv-SE" sz="1100"/>
        </a:p>
      </xdr:txBody>
    </xdr:sp>
    <xdr:clientData/>
  </xdr:twoCellAnchor>
  <xdr:twoCellAnchor>
    <xdr:from>
      <xdr:col>10</xdr:col>
      <xdr:colOff>581025</xdr:colOff>
      <xdr:row>17</xdr:row>
      <xdr:rowOff>171450</xdr:rowOff>
    </xdr:from>
    <xdr:to>
      <xdr:col>16</xdr:col>
      <xdr:colOff>485775</xdr:colOff>
      <xdr:row>19</xdr:row>
      <xdr:rowOff>104775</xdr:rowOff>
    </xdr:to>
    <xdr:sp macro="" textlink="">
      <xdr:nvSpPr>
        <xdr:cNvPr id="3" name="textruta 2">
          <a:extLst>
            <a:ext uri="{FF2B5EF4-FFF2-40B4-BE49-F238E27FC236}">
              <a16:creationId xmlns:a16="http://schemas.microsoft.com/office/drawing/2014/main" id="{2D6F65EC-6652-4105-8FB3-7931482954CB}"/>
            </a:ext>
          </a:extLst>
        </xdr:cNvPr>
        <xdr:cNvSpPr txBox="1"/>
      </xdr:nvSpPr>
      <xdr:spPr>
        <a:xfrm>
          <a:off x="8715375" y="3457575"/>
          <a:ext cx="3562350" cy="3143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a:t>Uppgifterna återfins</a:t>
          </a:r>
          <a:r>
            <a:rPr lang="sv-SE" sz="1100" baseline="0"/>
            <a:t> vanligt vis på engagemangsbeskedet</a:t>
          </a:r>
          <a:endParaRPr lang="sv-SE"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omegapointcloud.sharepoint.com/sites/Redovisningsgruppen/Shared%20Documents/Gemensamma%20filer/01%20Koncernekonomi/Omegapoint%20-%20Accountor/Bolagen%20till%20Accountor_Aspia%202025/12%20OP%20Malm&#246;/Underlag/Skatt%20och%20leasing%202025.xlsx" TargetMode="External"/><Relationship Id="rId2" Type="http://schemas.microsoft.com/office/2019/04/relationships/externalLinkLongPath" Target="Underlag/Skatt%20och%20leasing%202025.xlsx?FB441D59" TargetMode="External"/><Relationship Id="rId1" Type="http://schemas.openxmlformats.org/officeDocument/2006/relationships/externalLinkPath" Target="file:///\\FB441D59\Skatt%20och%20leasing%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ata"/>
      <sheetName val="Bolagsskatt"/>
      <sheetName val="Bad debt bedömning"/>
      <sheetName val="Fin. leasing"/>
    </sheetNames>
    <sheetDataSet>
      <sheetData sheetId="0">
        <row r="3">
          <cell r="B3" t="str">
            <v>Omegapoint Malmö AB (Ink E.Syd)</v>
          </cell>
          <cell r="H3" t="str">
            <v>2025-01--2025-12</v>
          </cell>
          <cell r="J3">
            <v>0.20599999999999999</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Erica Forsmark" id="{2B08A418-427A-4D7E-B0D2-41B5C19C9D01}" userId="Erica Forsmark" providerId="None"/>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2" dT="2022-11-28T13:52:32.57" personId="{2B08A418-427A-4D7E-B0D2-41B5C19C9D01}" id="{68AA99E6-F004-42F1-96C4-D7C6314DC429}">
    <text>Datum som anger när intervallet ska börja beräknas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6.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8.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1C4D-DE63-4A26-B6B6-02ADBC098212}">
  <sheetPr>
    <tabColor theme="9" tint="-0.249977111117893"/>
  </sheetPr>
  <dimension ref="A1:AB136"/>
  <sheetViews>
    <sheetView showGridLines="0" topLeftCell="A19" zoomScaleNormal="100" workbookViewId="0">
      <selection activeCell="H37" sqref="H37"/>
    </sheetView>
  </sheetViews>
  <sheetFormatPr defaultRowHeight="14.4"/>
  <cols>
    <col min="1" max="1" width="8.21875" customWidth="1"/>
    <col min="2" max="2" width="14.5546875" customWidth="1"/>
    <col min="3" max="3" width="50.77734375" customWidth="1"/>
    <col min="4" max="4" width="11.21875" bestFit="1" customWidth="1"/>
    <col min="5" max="5" width="13.21875" style="222" customWidth="1"/>
    <col min="6" max="6" width="32.77734375" style="222" bestFit="1" customWidth="1"/>
    <col min="7" max="7" width="29.21875" style="222" bestFit="1" customWidth="1"/>
    <col min="8" max="8" width="26.77734375" style="222" bestFit="1" customWidth="1"/>
    <col min="9" max="9" width="17.77734375" customWidth="1"/>
    <col min="10" max="10" width="14.21875" bestFit="1" customWidth="1"/>
    <col min="11" max="11" width="26.77734375" customWidth="1"/>
    <col min="12" max="12" width="18.44140625" bestFit="1" customWidth="1"/>
    <col min="13" max="14" width="13.77734375" bestFit="1" customWidth="1"/>
    <col min="15" max="15" width="25.21875" style="101" customWidth="1"/>
    <col min="16" max="17" width="9.21875" style="101"/>
    <col min="18" max="19" width="10.44140625" style="101" bestFit="1" customWidth="1"/>
    <col min="20" max="28" width="9.21875" style="101"/>
  </cols>
  <sheetData>
    <row r="1" spans="2:10" s="96" customFormat="1">
      <c r="B1" s="434"/>
      <c r="C1" s="434"/>
      <c r="E1" s="222"/>
      <c r="F1" s="255" t="s">
        <v>319</v>
      </c>
      <c r="G1" s="255" t="s">
        <v>335</v>
      </c>
      <c r="H1" s="255" t="s">
        <v>0</v>
      </c>
      <c r="I1" s="255" t="s">
        <v>1</v>
      </c>
      <c r="J1" s="255" t="s">
        <v>6</v>
      </c>
    </row>
    <row r="2" spans="2:10" s="96" customFormat="1">
      <c r="E2" s="222"/>
      <c r="F2" s="256"/>
      <c r="G2" s="256"/>
      <c r="H2" s="256"/>
      <c r="I2" s="256"/>
      <c r="J2" s="256"/>
    </row>
    <row r="3" spans="2:10" s="96" customFormat="1">
      <c r="B3" s="440" t="s">
        <v>313</v>
      </c>
      <c r="C3" s="441"/>
      <c r="E3" s="222"/>
      <c r="F3" s="257">
        <f>+_xlfn.XLOOKUP($B$3,$H$101:$H$119,$D$101:$D$119)</f>
        <v>45657</v>
      </c>
      <c r="G3" s="257">
        <f>+_xlfn.XLOOKUP($B$3,$H$101:$H$119,$E$101:$E$119)</f>
        <v>46022</v>
      </c>
      <c r="H3" s="258" t="str">
        <f>+_xlfn.XLOOKUP($B$3,$H$101:$H$119,$F$101:$F$119)</f>
        <v>2025-01--2025-12</v>
      </c>
      <c r="I3" s="258" t="str">
        <f>+_xlfn.XLOOKUP($B$3,$H$101:$H$119,$G$101:$G$119)</f>
        <v>2024-01--2024-12</v>
      </c>
      <c r="J3" s="259">
        <f>+_xlfn.XLOOKUP($B$3,$H$101:$H$119,$J$101:$J$119)</f>
        <v>0.20599999999999999</v>
      </c>
    </row>
    <row r="4" spans="2:10" s="96" customFormat="1">
      <c r="D4" s="78"/>
      <c r="E4" s="223"/>
      <c r="F4" s="222"/>
      <c r="G4" s="222"/>
      <c r="H4" s="222"/>
    </row>
    <row r="5" spans="2:10" s="96" customFormat="1">
      <c r="B5" s="105" t="s">
        <v>464</v>
      </c>
      <c r="C5" s="105"/>
      <c r="D5" s="435"/>
      <c r="E5" s="435"/>
      <c r="F5" s="222"/>
      <c r="G5" s="222"/>
      <c r="H5" s="222"/>
    </row>
    <row r="6" spans="2:10" s="96" customFormat="1">
      <c r="E6" s="222"/>
      <c r="F6" s="222"/>
      <c r="G6" s="222"/>
      <c r="H6" s="222"/>
    </row>
    <row r="7" spans="2:10" s="96" customFormat="1">
      <c r="E7" s="222"/>
      <c r="F7" s="222"/>
      <c r="G7" s="222"/>
      <c r="H7" s="222"/>
    </row>
    <row r="8" spans="2:10" s="96" customFormat="1">
      <c r="B8" s="96" t="s">
        <v>336</v>
      </c>
      <c r="D8" s="329">
        <v>45721</v>
      </c>
      <c r="E8" s="222"/>
      <c r="F8" s="223"/>
      <c r="G8" s="223"/>
      <c r="H8" s="222"/>
    </row>
    <row r="9" spans="2:10" s="96" customFormat="1">
      <c r="B9" s="75"/>
      <c r="E9" s="222"/>
      <c r="F9" s="222"/>
      <c r="G9" s="222"/>
      <c r="H9" s="222"/>
    </row>
    <row r="10" spans="2:10" s="96" customFormat="1">
      <c r="E10" s="222"/>
      <c r="F10" s="222"/>
      <c r="G10" s="222"/>
      <c r="H10" s="222"/>
    </row>
    <row r="11" spans="2:10" s="96" customFormat="1">
      <c r="E11" s="222"/>
      <c r="F11" s="222"/>
      <c r="G11" s="222"/>
      <c r="H11" s="222"/>
    </row>
    <row r="12" spans="2:10" s="96" customFormat="1">
      <c r="B12" s="96" t="s">
        <v>2</v>
      </c>
      <c r="E12" s="222"/>
      <c r="F12" s="222"/>
      <c r="G12" s="222"/>
      <c r="H12" s="222"/>
    </row>
    <row r="13" spans="2:10" s="96" customFormat="1">
      <c r="E13" s="222"/>
      <c r="F13" s="222"/>
      <c r="G13" s="222"/>
      <c r="H13" s="222"/>
    </row>
    <row r="14" spans="2:10" s="96" customFormat="1">
      <c r="B14" s="438" t="s">
        <v>3</v>
      </c>
      <c r="C14" s="438"/>
      <c r="D14" s="104" t="s">
        <v>18</v>
      </c>
      <c r="E14" s="223"/>
      <c r="F14" s="223"/>
      <c r="G14" s="223"/>
      <c r="H14" s="223"/>
    </row>
    <row r="15" spans="2:10" s="96" customFormat="1">
      <c r="B15" s="438" t="s">
        <v>5</v>
      </c>
      <c r="C15" s="438"/>
      <c r="D15" s="104" t="s">
        <v>18</v>
      </c>
      <c r="E15" s="223"/>
      <c r="F15" s="223"/>
      <c r="G15" s="223"/>
      <c r="H15" s="223"/>
    </row>
    <row r="16" spans="2:10" s="96" customFormat="1">
      <c r="B16" s="439" t="s">
        <v>6</v>
      </c>
      <c r="C16" s="439"/>
      <c r="D16" s="104" t="s">
        <v>18</v>
      </c>
      <c r="E16" s="223"/>
      <c r="F16" s="223"/>
      <c r="G16" s="223"/>
      <c r="H16" s="223"/>
    </row>
    <row r="17" spans="1:8" s="96" customFormat="1">
      <c r="B17" s="442" t="s">
        <v>384</v>
      </c>
      <c r="C17" s="442"/>
      <c r="D17" s="104" t="s">
        <v>18</v>
      </c>
      <c r="E17" s="223"/>
      <c r="F17" s="223"/>
      <c r="G17" s="223"/>
      <c r="H17" s="223"/>
    </row>
    <row r="18" spans="1:8" s="96" customFormat="1">
      <c r="B18" s="438" t="s">
        <v>7</v>
      </c>
      <c r="C18" s="438"/>
      <c r="D18" s="104" t="s">
        <v>18</v>
      </c>
      <c r="E18" s="223"/>
      <c r="F18" s="223"/>
      <c r="G18" s="223"/>
      <c r="H18" s="223"/>
    </row>
    <row r="19" spans="1:8">
      <c r="A19" s="205"/>
      <c r="B19" s="437" t="s">
        <v>8</v>
      </c>
      <c r="C19" s="437"/>
      <c r="D19" s="104" t="s">
        <v>18</v>
      </c>
      <c r="E19" s="223"/>
      <c r="F19" s="223"/>
      <c r="G19" s="223"/>
      <c r="H19" s="223"/>
    </row>
    <row r="20" spans="1:8">
      <c r="B20" s="436" t="s">
        <v>9</v>
      </c>
      <c r="C20" s="436"/>
      <c r="D20" s="104" t="s">
        <v>18</v>
      </c>
      <c r="E20" s="223"/>
      <c r="F20" s="223"/>
      <c r="G20" s="223"/>
      <c r="H20" s="223"/>
    </row>
    <row r="21" spans="1:8">
      <c r="B21" s="436" t="s">
        <v>227</v>
      </c>
      <c r="C21" s="436"/>
      <c r="D21" s="366" t="s">
        <v>19</v>
      </c>
      <c r="E21" s="223"/>
      <c r="F21" s="223"/>
      <c r="G21" s="223"/>
      <c r="H21" s="223"/>
    </row>
    <row r="22" spans="1:8">
      <c r="B22" s="436" t="s">
        <v>177</v>
      </c>
      <c r="C22" s="436"/>
      <c r="D22" s="104" t="s">
        <v>18</v>
      </c>
    </row>
    <row r="23" spans="1:8">
      <c r="B23" s="436" t="s">
        <v>178</v>
      </c>
      <c r="C23" s="436"/>
      <c r="D23" s="104" t="s">
        <v>18</v>
      </c>
    </row>
    <row r="24" spans="1:8">
      <c r="B24" s="437" t="s">
        <v>10</v>
      </c>
      <c r="C24" s="437"/>
      <c r="D24" s="104" t="s">
        <v>18</v>
      </c>
    </row>
    <row r="25" spans="1:8">
      <c r="B25" s="447" t="s">
        <v>351</v>
      </c>
      <c r="C25" s="447"/>
      <c r="D25" s="104" t="s">
        <v>18</v>
      </c>
    </row>
    <row r="26" spans="1:8">
      <c r="B26" s="437" t="s">
        <v>206</v>
      </c>
      <c r="C26" s="437"/>
      <c r="D26" s="104" t="s">
        <v>18</v>
      </c>
    </row>
    <row r="27" spans="1:8">
      <c r="B27" s="445" t="s">
        <v>13</v>
      </c>
      <c r="C27" s="446"/>
      <c r="D27" s="104" t="s">
        <v>18</v>
      </c>
    </row>
    <row r="28" spans="1:8">
      <c r="B28" s="436" t="s">
        <v>11</v>
      </c>
      <c r="C28" s="436"/>
      <c r="D28" s="104" t="s">
        <v>18</v>
      </c>
    </row>
    <row r="29" spans="1:8">
      <c r="B29" s="436" t="s">
        <v>12</v>
      </c>
      <c r="C29" s="436"/>
      <c r="D29" s="104" t="s">
        <v>18</v>
      </c>
    </row>
    <row r="30" spans="1:8">
      <c r="B30" s="447" t="s">
        <v>408</v>
      </c>
      <c r="C30" s="447"/>
      <c r="D30" s="104" t="s">
        <v>4</v>
      </c>
    </row>
    <row r="31" spans="1:8">
      <c r="B31" s="436" t="s">
        <v>201</v>
      </c>
      <c r="C31" s="436"/>
      <c r="D31" s="366" t="s">
        <v>19</v>
      </c>
    </row>
    <row r="32" spans="1:8">
      <c r="B32" s="436" t="s">
        <v>202</v>
      </c>
      <c r="C32" s="436"/>
      <c r="D32" s="104" t="s">
        <v>18</v>
      </c>
    </row>
    <row r="33" spans="2:8">
      <c r="B33" s="436" t="s">
        <v>226</v>
      </c>
      <c r="C33" s="436"/>
      <c r="D33" s="366" t="s">
        <v>19</v>
      </c>
    </row>
    <row r="34" spans="2:8">
      <c r="B34" s="171" t="s">
        <v>163</v>
      </c>
      <c r="C34" s="172"/>
      <c r="D34" s="366" t="s">
        <v>19</v>
      </c>
    </row>
    <row r="35" spans="2:8">
      <c r="B35" s="171" t="s">
        <v>213</v>
      </c>
      <c r="C35" s="172"/>
      <c r="D35" s="366" t="s">
        <v>19</v>
      </c>
    </row>
    <row r="36" spans="2:8">
      <c r="B36" s="443" t="s">
        <v>221</v>
      </c>
      <c r="C36" s="444"/>
      <c r="D36" s="366" t="s">
        <v>19</v>
      </c>
    </row>
    <row r="37" spans="2:8">
      <c r="B37" s="447" t="s">
        <v>14</v>
      </c>
      <c r="C37" s="447"/>
      <c r="D37" s="104" t="s">
        <v>18</v>
      </c>
    </row>
    <row r="39" spans="2:8">
      <c r="B39" s="445" t="s">
        <v>182</v>
      </c>
      <c r="C39" s="446"/>
      <c r="D39" s="31" t="s">
        <v>18</v>
      </c>
      <c r="E39" s="308" t="s">
        <v>383</v>
      </c>
    </row>
    <row r="40" spans="2:8">
      <c r="B40" s="436" t="s">
        <v>288</v>
      </c>
      <c r="C40" s="436"/>
      <c r="D40" s="31" t="s">
        <v>18</v>
      </c>
      <c r="E40" s="308" t="s">
        <v>383</v>
      </c>
    </row>
    <row r="41" spans="2:8">
      <c r="E41" s="308"/>
    </row>
    <row r="42" spans="2:8">
      <c r="B42" s="30" t="s">
        <v>370</v>
      </c>
      <c r="C42" s="30"/>
      <c r="E42" s="308" t="s">
        <v>379</v>
      </c>
    </row>
    <row r="43" spans="2:8" s="75" customFormat="1">
      <c r="B43" s="30" t="s">
        <v>371</v>
      </c>
      <c r="C43" s="30"/>
      <c r="D43"/>
      <c r="E43" s="308" t="s">
        <v>379</v>
      </c>
      <c r="F43" s="222"/>
      <c r="G43" s="222"/>
      <c r="H43" s="222"/>
    </row>
    <row r="44" spans="2:8" s="75" customFormat="1">
      <c r="B44" s="30" t="s">
        <v>372</v>
      </c>
      <c r="C44" s="306"/>
      <c r="E44" s="308" t="s">
        <v>380</v>
      </c>
    </row>
    <row r="45" spans="2:8" s="75" customFormat="1">
      <c r="B45" s="30" t="s">
        <v>373</v>
      </c>
      <c r="C45" s="306"/>
      <c r="E45" s="308" t="s">
        <v>382</v>
      </c>
    </row>
    <row r="46" spans="2:8" s="75" customFormat="1">
      <c r="B46" s="30" t="s">
        <v>386</v>
      </c>
      <c r="C46" s="306"/>
      <c r="E46" s="308" t="s">
        <v>387</v>
      </c>
    </row>
    <row r="47" spans="2:8" s="75" customFormat="1">
      <c r="B47" s="30" t="s">
        <v>374</v>
      </c>
      <c r="C47" s="306"/>
      <c r="E47" s="308" t="s">
        <v>380</v>
      </c>
    </row>
    <row r="48" spans="2:8" s="75" customFormat="1">
      <c r="B48" s="30" t="s">
        <v>375</v>
      </c>
      <c r="C48" s="306"/>
      <c r="E48" s="308" t="s">
        <v>381</v>
      </c>
    </row>
    <row r="49" spans="2:5" s="75" customFormat="1">
      <c r="E49" s="308"/>
    </row>
    <row r="50" spans="2:5" s="75" customFormat="1">
      <c r="B50" s="307" t="s">
        <v>376</v>
      </c>
      <c r="C50" s="306"/>
      <c r="E50" s="308" t="s">
        <v>381</v>
      </c>
    </row>
    <row r="51" spans="2:5" s="75" customFormat="1">
      <c r="B51" s="307" t="s">
        <v>377</v>
      </c>
      <c r="C51" s="306"/>
      <c r="E51" s="308" t="s">
        <v>381</v>
      </c>
    </row>
    <row r="52" spans="2:5" s="75" customFormat="1">
      <c r="B52" s="307" t="s">
        <v>378</v>
      </c>
      <c r="C52" s="306"/>
      <c r="E52" s="308" t="s">
        <v>381</v>
      </c>
    </row>
    <row r="53" spans="2:5" s="75" customFormat="1"/>
    <row r="54" spans="2:5" s="75" customFormat="1"/>
    <row r="55" spans="2:5" s="75" customFormat="1"/>
    <row r="56" spans="2:5" s="75" customFormat="1"/>
    <row r="57" spans="2:5" s="75" customFormat="1"/>
    <row r="58" spans="2:5" s="75" customFormat="1"/>
    <row r="59" spans="2:5" s="75" customFormat="1"/>
    <row r="60" spans="2:5" s="75" customFormat="1"/>
    <row r="61" spans="2:5" s="75" customFormat="1"/>
    <row r="62" spans="2:5" s="75" customFormat="1"/>
    <row r="63" spans="2:5" s="75" customFormat="1"/>
    <row r="64" spans="2:5" s="75" customFormat="1"/>
    <row r="65" s="75" customFormat="1"/>
    <row r="66" s="75" customFormat="1"/>
    <row r="67" s="75" customFormat="1"/>
    <row r="68" s="75" customFormat="1"/>
    <row r="69" s="75" customFormat="1"/>
    <row r="70" s="75" customFormat="1"/>
    <row r="71" s="75" customFormat="1"/>
    <row r="72" s="75" customFormat="1"/>
    <row r="73" s="75" customFormat="1"/>
    <row r="74" s="75" customFormat="1"/>
    <row r="75" s="75" customFormat="1"/>
    <row r="76" s="75" customFormat="1"/>
    <row r="77" s="75" customFormat="1"/>
    <row r="78" s="75" customFormat="1"/>
    <row r="79" s="75" customFormat="1"/>
    <row r="80" s="75" customFormat="1"/>
    <row r="81" s="75" customFormat="1"/>
    <row r="82" s="75" customFormat="1"/>
    <row r="83" s="75" customFormat="1"/>
    <row r="84" s="75" customFormat="1"/>
    <row r="85" s="75" customFormat="1"/>
    <row r="86" s="75" customFormat="1"/>
    <row r="87" s="75" customFormat="1"/>
    <row r="88" s="75" customFormat="1"/>
    <row r="89" s="75" customFormat="1"/>
    <row r="90" s="75" customFormat="1"/>
    <row r="91" s="75" customFormat="1"/>
    <row r="92" s="75" customFormat="1"/>
    <row r="93" s="75" customFormat="1"/>
    <row r="94" s="75" customFormat="1"/>
    <row r="95" s="75" customFormat="1"/>
    <row r="96" s="75" customFormat="1"/>
    <row r="97" spans="1:12" s="75" customFormat="1"/>
    <row r="98" spans="1:12" s="101" customFormat="1"/>
    <row r="99" spans="1:12" s="101" customFormat="1"/>
    <row r="100" spans="1:12" s="101" customFormat="1">
      <c r="A100" s="100" t="s">
        <v>6</v>
      </c>
      <c r="D100" s="101" t="s">
        <v>4</v>
      </c>
      <c r="E100" s="101" t="s">
        <v>4</v>
      </c>
      <c r="F100" s="101" t="s">
        <v>4</v>
      </c>
      <c r="H100" s="101" t="s">
        <v>16</v>
      </c>
      <c r="K100" s="101" t="s">
        <v>4</v>
      </c>
      <c r="L100" s="101" t="s">
        <v>4</v>
      </c>
    </row>
    <row r="101" spans="1:12" s="101" customFormat="1">
      <c r="A101" s="102">
        <v>0.20599999999999999</v>
      </c>
      <c r="D101" s="103">
        <v>45657</v>
      </c>
      <c r="E101" s="103">
        <v>46022</v>
      </c>
      <c r="F101" s="101" t="s">
        <v>333</v>
      </c>
      <c r="G101" s="101" t="s">
        <v>308</v>
      </c>
      <c r="H101" s="253" t="s">
        <v>310</v>
      </c>
      <c r="J101" s="254">
        <v>0.20599999999999999</v>
      </c>
      <c r="K101" s="101" t="s">
        <v>262</v>
      </c>
      <c r="L101" s="101" t="s">
        <v>18</v>
      </c>
    </row>
    <row r="102" spans="1:12" s="101" customFormat="1">
      <c r="A102" s="102">
        <v>0.20599999999999999</v>
      </c>
      <c r="D102" s="103">
        <v>45657</v>
      </c>
      <c r="E102" s="103">
        <v>46022</v>
      </c>
      <c r="F102" s="101" t="s">
        <v>333</v>
      </c>
      <c r="G102" s="101" t="s">
        <v>308</v>
      </c>
      <c r="H102" s="253" t="s">
        <v>311</v>
      </c>
      <c r="J102" s="254">
        <v>0.20599999999999999</v>
      </c>
      <c r="K102" s="101" t="s">
        <v>263</v>
      </c>
      <c r="L102" s="101" t="s">
        <v>19</v>
      </c>
    </row>
    <row r="103" spans="1:12" s="101" customFormat="1">
      <c r="A103" s="102">
        <v>0.20599999999999999</v>
      </c>
      <c r="B103" s="101" t="s">
        <v>15</v>
      </c>
      <c r="D103" s="103">
        <v>45657</v>
      </c>
      <c r="E103" s="103">
        <v>46022</v>
      </c>
      <c r="F103" s="101" t="s">
        <v>333</v>
      </c>
      <c r="G103" s="101" t="s">
        <v>308</v>
      </c>
      <c r="H103" s="253" t="s">
        <v>255</v>
      </c>
      <c r="J103" s="254">
        <v>0.20599999999999999</v>
      </c>
      <c r="L103" s="101" t="s">
        <v>20</v>
      </c>
    </row>
    <row r="104" spans="1:12" s="101" customFormat="1">
      <c r="A104" s="102">
        <v>0.20599999999999999</v>
      </c>
      <c r="B104" s="101" t="s">
        <v>17</v>
      </c>
      <c r="D104" s="103">
        <v>45657</v>
      </c>
      <c r="E104" s="103">
        <v>46022</v>
      </c>
      <c r="F104" s="101" t="s">
        <v>333</v>
      </c>
      <c r="G104" s="101" t="s">
        <v>308</v>
      </c>
      <c r="H104" s="253" t="s">
        <v>256</v>
      </c>
      <c r="J104" s="254">
        <v>0.20599999999999999</v>
      </c>
    </row>
    <row r="105" spans="1:12" s="101" customFormat="1">
      <c r="A105" s="102">
        <v>0.20599999999999999</v>
      </c>
      <c r="B105" s="101" t="s">
        <v>17</v>
      </c>
      <c r="D105" s="103">
        <v>45657</v>
      </c>
      <c r="E105" s="103">
        <v>46022</v>
      </c>
      <c r="F105" s="101" t="s">
        <v>333</v>
      </c>
      <c r="G105" s="101" t="s">
        <v>308</v>
      </c>
      <c r="H105" s="253" t="s">
        <v>312</v>
      </c>
      <c r="J105" s="254">
        <v>0.20599999999999999</v>
      </c>
      <c r="K105" s="101" t="s">
        <v>4</v>
      </c>
      <c r="L105" s="101" t="s">
        <v>4</v>
      </c>
    </row>
    <row r="106" spans="1:12" s="101" customFormat="1">
      <c r="A106" s="102">
        <v>0.20599999999999999</v>
      </c>
      <c r="B106" s="101" t="s">
        <v>17</v>
      </c>
      <c r="D106" s="103">
        <v>45657</v>
      </c>
      <c r="E106" s="103">
        <v>46022</v>
      </c>
      <c r="F106" s="101" t="s">
        <v>333</v>
      </c>
      <c r="G106" s="101" t="s">
        <v>308</v>
      </c>
      <c r="H106" s="253" t="s">
        <v>313</v>
      </c>
      <c r="J106" s="254">
        <v>0.20599999999999999</v>
      </c>
      <c r="K106" s="101" t="s">
        <v>315</v>
      </c>
      <c r="L106" s="101" t="s">
        <v>251</v>
      </c>
    </row>
    <row r="107" spans="1:12" s="101" customFormat="1">
      <c r="A107" s="102">
        <v>0.20599999999999999</v>
      </c>
      <c r="B107" s="101" t="s">
        <v>17</v>
      </c>
      <c r="D107" s="103">
        <v>45657</v>
      </c>
      <c r="E107" s="103">
        <v>46022</v>
      </c>
      <c r="F107" s="101" t="s">
        <v>333</v>
      </c>
      <c r="G107" s="101" t="s">
        <v>308</v>
      </c>
      <c r="H107" s="253" t="s">
        <v>257</v>
      </c>
      <c r="J107" s="254">
        <v>0.22</v>
      </c>
      <c r="K107" s="101" t="s">
        <v>316</v>
      </c>
      <c r="L107" s="101" t="s">
        <v>252</v>
      </c>
    </row>
    <row r="108" spans="1:12" s="101" customFormat="1">
      <c r="A108" s="102">
        <v>0.20599999999999999</v>
      </c>
      <c r="B108" s="101" t="s">
        <v>17</v>
      </c>
      <c r="D108" s="103">
        <v>45657</v>
      </c>
      <c r="E108" s="103">
        <v>46022</v>
      </c>
      <c r="F108" s="101" t="s">
        <v>333</v>
      </c>
      <c r="G108" s="101" t="s">
        <v>308</v>
      </c>
      <c r="H108" s="253" t="s">
        <v>258</v>
      </c>
      <c r="J108" s="254">
        <v>0.20599999999999999</v>
      </c>
      <c r="K108" s="101" t="s">
        <v>317</v>
      </c>
      <c r="L108" s="101" t="s">
        <v>267</v>
      </c>
    </row>
    <row r="109" spans="1:12" s="101" customFormat="1">
      <c r="A109" s="102">
        <v>0.20599999999999999</v>
      </c>
      <c r="B109" s="101" t="s">
        <v>17</v>
      </c>
      <c r="D109" s="103">
        <v>45657</v>
      </c>
      <c r="E109" s="103">
        <v>46022</v>
      </c>
      <c r="F109" s="101" t="s">
        <v>333</v>
      </c>
      <c r="G109" s="101" t="s">
        <v>308</v>
      </c>
      <c r="H109" s="253" t="s">
        <v>259</v>
      </c>
      <c r="J109" s="254">
        <v>0.20599999999999999</v>
      </c>
      <c r="K109" s="101" t="s">
        <v>328</v>
      </c>
    </row>
    <row r="110" spans="1:12" s="101" customFormat="1">
      <c r="A110" s="102">
        <v>0.20599999999999999</v>
      </c>
      <c r="B110" s="101" t="s">
        <v>17</v>
      </c>
      <c r="D110" s="103">
        <v>45657</v>
      </c>
      <c r="E110" s="103">
        <v>45991</v>
      </c>
      <c r="F110" s="101" t="s">
        <v>334</v>
      </c>
      <c r="G110" s="101" t="s">
        <v>308</v>
      </c>
      <c r="H110" s="253" t="s">
        <v>260</v>
      </c>
      <c r="J110" s="254">
        <v>0.22</v>
      </c>
    </row>
    <row r="111" spans="1:12" s="101" customFormat="1">
      <c r="A111" s="102">
        <v>0.20599999999999999</v>
      </c>
      <c r="B111" s="101" t="s">
        <v>17</v>
      </c>
      <c r="D111" s="103">
        <v>45657</v>
      </c>
      <c r="E111" s="103">
        <v>46022</v>
      </c>
      <c r="F111" s="101" t="s">
        <v>333</v>
      </c>
      <c r="G111" s="101" t="s">
        <v>308</v>
      </c>
      <c r="H111" s="253" t="s">
        <v>309</v>
      </c>
      <c r="J111" s="254">
        <v>0.26500000000000001</v>
      </c>
    </row>
    <row r="112" spans="1:12" s="101" customFormat="1">
      <c r="A112" s="102">
        <v>0.22</v>
      </c>
    </row>
    <row r="113" spans="1:8" s="101" customFormat="1">
      <c r="A113" s="102">
        <v>0.20599999999999999</v>
      </c>
    </row>
    <row r="114" spans="1:8" s="101" customFormat="1">
      <c r="A114" s="102">
        <v>0.20599999999999999</v>
      </c>
      <c r="B114" s="101" t="s">
        <v>17</v>
      </c>
      <c r="D114" s="103"/>
      <c r="E114" s="103"/>
      <c r="H114" s="253"/>
    </row>
    <row r="115" spans="1:8" s="101" customFormat="1">
      <c r="A115" s="102">
        <v>0.20599999999999999</v>
      </c>
      <c r="B115" s="101" t="s">
        <v>17</v>
      </c>
      <c r="D115" s="103"/>
      <c r="E115" s="103"/>
      <c r="H115" s="253"/>
    </row>
    <row r="116" spans="1:8" s="101" customFormat="1">
      <c r="A116" s="102">
        <v>0.20599999999999999</v>
      </c>
      <c r="B116" s="101" t="s">
        <v>17</v>
      </c>
      <c r="D116" s="103"/>
      <c r="E116" s="103"/>
      <c r="H116" s="253"/>
    </row>
    <row r="117" spans="1:8" s="101" customFormat="1">
      <c r="A117" s="102">
        <v>0.20599999999999999</v>
      </c>
      <c r="B117" s="101" t="s">
        <v>17</v>
      </c>
      <c r="D117" s="103"/>
      <c r="E117" s="103"/>
      <c r="H117" s="253"/>
    </row>
    <row r="118" spans="1:8" s="101" customFormat="1">
      <c r="A118" s="102">
        <v>0.20599999999999999</v>
      </c>
      <c r="B118" s="101" t="s">
        <v>17</v>
      </c>
      <c r="D118" s="103"/>
      <c r="E118" s="103"/>
      <c r="H118" s="253"/>
    </row>
    <row r="119" spans="1:8" s="101" customFormat="1">
      <c r="A119" s="102">
        <v>0.22</v>
      </c>
      <c r="B119" s="101" t="s">
        <v>17</v>
      </c>
      <c r="D119" s="103"/>
      <c r="E119" s="103"/>
      <c r="H119" s="253"/>
    </row>
    <row r="120" spans="1:8" s="101" customFormat="1">
      <c r="B120" s="101" t="s">
        <v>17</v>
      </c>
    </row>
    <row r="121" spans="1:8" s="101" customFormat="1"/>
    <row r="122" spans="1:8" s="75" customFormat="1"/>
    <row r="123" spans="1:8" s="75" customFormat="1"/>
    <row r="124" spans="1:8" s="75" customFormat="1"/>
    <row r="125" spans="1:8" s="75" customFormat="1"/>
    <row r="126" spans="1:8" s="75" customFormat="1"/>
    <row r="127" spans="1:8" s="75" customFormat="1"/>
    <row r="128" spans="1:8" s="75" customFormat="1"/>
    <row r="129" spans="2:4" s="75" customFormat="1"/>
    <row r="130" spans="2:4" s="75" customFormat="1"/>
    <row r="131" spans="2:4" s="75" customFormat="1"/>
    <row r="132" spans="2:4" s="75" customFormat="1"/>
    <row r="133" spans="2:4" s="75" customFormat="1"/>
    <row r="134" spans="2:4" s="75" customFormat="1"/>
    <row r="135" spans="2:4">
      <c r="B135" s="75"/>
      <c r="C135" s="75"/>
      <c r="D135" s="75"/>
    </row>
    <row r="136" spans="2:4">
      <c r="B136" s="101"/>
      <c r="C136" s="101"/>
      <c r="D136" s="101"/>
    </row>
  </sheetData>
  <mergeCells count="27">
    <mergeCell ref="B32:C32"/>
    <mergeCell ref="B36:C36"/>
    <mergeCell ref="B33:C33"/>
    <mergeCell ref="B21:C21"/>
    <mergeCell ref="B40:C40"/>
    <mergeCell ref="B39:C39"/>
    <mergeCell ref="B37:C37"/>
    <mergeCell ref="B31:C31"/>
    <mergeCell ref="B27:C27"/>
    <mergeCell ref="B25:C25"/>
    <mergeCell ref="B30:C30"/>
    <mergeCell ref="B1:C1"/>
    <mergeCell ref="D5:E5"/>
    <mergeCell ref="B28:C28"/>
    <mergeCell ref="B29:C29"/>
    <mergeCell ref="B19:C19"/>
    <mergeCell ref="B20:C20"/>
    <mergeCell ref="B22:C22"/>
    <mergeCell ref="B23:C23"/>
    <mergeCell ref="B14:C14"/>
    <mergeCell ref="B15:C15"/>
    <mergeCell ref="B16:C16"/>
    <mergeCell ref="B18:C18"/>
    <mergeCell ref="B26:C26"/>
    <mergeCell ref="B24:C24"/>
    <mergeCell ref="B3:C3"/>
    <mergeCell ref="B17:C17"/>
  </mergeCells>
  <phoneticPr fontId="11" type="noConversion"/>
  <dataValidations count="2">
    <dataValidation type="list" allowBlank="1" showInputMessage="1" showErrorMessage="1" sqref="D39:D40 D14:D37" xr:uid="{93717B5E-89AF-4A3A-BD07-5B1147CA2F41}">
      <formula1>$L$100:$L$103</formula1>
    </dataValidation>
    <dataValidation type="list" allowBlank="1" showInputMessage="1" showErrorMessage="1" sqref="B3" xr:uid="{1F2AC1DE-0094-4D25-B14C-131D8C870B39}">
      <formula1>$H$100:$H$119</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6F18-49A0-4DFF-A82F-198937127A68}">
  <sheetPr>
    <tabColor theme="9" tint="0.79998168889431442"/>
  </sheetPr>
  <dimension ref="A1"/>
  <sheetViews>
    <sheetView showGridLines="0" topLeftCell="A4" workbookViewId="0">
      <selection activeCell="N27" sqref="N27"/>
    </sheetView>
  </sheetViews>
  <sheetFormatPr defaultRowHeight="14.4"/>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3EE9-FAD8-4D63-BF8F-ADBAFA58712A}">
  <dimension ref="A1:E39"/>
  <sheetViews>
    <sheetView showGridLines="0" tabSelected="1" workbookViewId="0">
      <selection activeCell="C23" sqref="C23"/>
    </sheetView>
  </sheetViews>
  <sheetFormatPr defaultRowHeight="14.4"/>
  <cols>
    <col min="1" max="1" width="41.5546875" customWidth="1"/>
    <col min="2" max="2" width="34.77734375" bestFit="1" customWidth="1"/>
    <col min="3" max="3" width="25" bestFit="1" customWidth="1"/>
    <col min="4" max="4" width="10.44140625" customWidth="1"/>
    <col min="5" max="5" width="25" bestFit="1" customWidth="1"/>
    <col min="6" max="6" width="9.21875" customWidth="1"/>
  </cols>
  <sheetData>
    <row r="1" spans="1:5" ht="15.6">
      <c r="A1" s="9" t="s">
        <v>338</v>
      </c>
      <c r="C1" s="34" t="str">
        <f>+Start!B3</f>
        <v>Omegapoint Malmö AB (Ink E.Syd)</v>
      </c>
      <c r="E1" s="34" t="str">
        <f>+C1</f>
        <v>Omegapoint Malmö AB (Ink E.Syd)</v>
      </c>
    </row>
    <row r="4" spans="1:5" ht="15.6">
      <c r="B4" s="9"/>
    </row>
    <row r="5" spans="1:5" ht="15.6">
      <c r="A5" s="9"/>
      <c r="B5" s="9"/>
    </row>
    <row r="7" spans="1:5">
      <c r="A7" s="7"/>
      <c r="B7" s="7"/>
      <c r="C7" s="8" t="str">
        <f>+Start!H3</f>
        <v>2025-01--2025-12</v>
      </c>
      <c r="D7" s="65"/>
      <c r="E7" s="8" t="str">
        <f>+Start!I3</f>
        <v>2024-01--2024-12</v>
      </c>
    </row>
    <row r="8" spans="1:5">
      <c r="C8" s="128" t="s">
        <v>21</v>
      </c>
      <c r="E8" s="128" t="s">
        <v>21</v>
      </c>
    </row>
    <row r="9" spans="1:5">
      <c r="A9" s="16"/>
      <c r="B9" s="16"/>
      <c r="C9" s="11"/>
      <c r="E9" s="11"/>
    </row>
    <row r="10" spans="1:5">
      <c r="A10" s="70" t="s">
        <v>3</v>
      </c>
      <c r="B10" s="70"/>
      <c r="C10" s="11"/>
      <c r="E10" s="11"/>
    </row>
    <row r="11" spans="1:5">
      <c r="C11" s="11"/>
      <c r="E11" s="11"/>
    </row>
    <row r="12" spans="1:5">
      <c r="A12" t="s">
        <v>22</v>
      </c>
      <c r="B12" s="302" t="s">
        <v>269</v>
      </c>
      <c r="C12" s="17">
        <f>121088304.85+2</f>
        <v>121088306.84999999</v>
      </c>
      <c r="E12" s="230">
        <v>126504482.06999999</v>
      </c>
    </row>
    <row r="13" spans="1:5">
      <c r="A13" t="s">
        <v>321</v>
      </c>
      <c r="B13" s="303" t="s">
        <v>337</v>
      </c>
      <c r="C13" s="18">
        <v>2448672.88</v>
      </c>
      <c r="E13" s="231">
        <v>2879458.57</v>
      </c>
    </row>
    <row r="14" spans="1:5">
      <c r="C14" s="12">
        <f>SUM(C12:C13)</f>
        <v>123536979.72999999</v>
      </c>
      <c r="E14" s="12">
        <f>SUM(E12:E13)</f>
        <v>129383940.63999999</v>
      </c>
    </row>
    <row r="15" spans="1:5">
      <c r="C15" s="11"/>
      <c r="E15" s="11"/>
    </row>
    <row r="16" spans="1:5">
      <c r="A16" s="70" t="s">
        <v>23</v>
      </c>
      <c r="B16" s="70"/>
      <c r="C16" s="11"/>
      <c r="E16" s="11"/>
    </row>
    <row r="17" spans="1:5">
      <c r="C17" s="11"/>
      <c r="E17" s="11"/>
    </row>
    <row r="18" spans="1:5">
      <c r="A18" t="s">
        <v>24</v>
      </c>
      <c r="C18" s="17">
        <v>115486695</v>
      </c>
      <c r="E18" s="230">
        <v>125721952.3</v>
      </c>
    </row>
    <row r="19" spans="1:5">
      <c r="A19" t="s">
        <v>25</v>
      </c>
      <c r="C19" s="17">
        <v>46000</v>
      </c>
      <c r="E19" s="230"/>
    </row>
    <row r="20" spans="1:5">
      <c r="A20" t="s">
        <v>26</v>
      </c>
      <c r="C20" s="17">
        <v>1310631.52</v>
      </c>
      <c r="E20" s="230">
        <v>542375</v>
      </c>
    </row>
    <row r="21" spans="1:5">
      <c r="A21" t="s">
        <v>243</v>
      </c>
      <c r="C21" s="17">
        <v>2515773.17</v>
      </c>
      <c r="E21" s="230">
        <v>1144614.8500000001</v>
      </c>
    </row>
    <row r="22" spans="1:5">
      <c r="A22" t="s">
        <v>244</v>
      </c>
      <c r="C22" s="17"/>
      <c r="E22" s="230">
        <v>125296.78</v>
      </c>
    </row>
    <row r="23" spans="1:5">
      <c r="A23" t="s">
        <v>264</v>
      </c>
      <c r="C23" s="17"/>
      <c r="E23" s="230">
        <v>300000</v>
      </c>
    </row>
    <row r="24" spans="1:5">
      <c r="A24" t="s">
        <v>265</v>
      </c>
      <c r="C24" s="17">
        <v>296588.76</v>
      </c>
      <c r="E24" s="230">
        <v>404894.08</v>
      </c>
    </row>
    <row r="25" spans="1:5">
      <c r="A25" t="s">
        <v>268</v>
      </c>
      <c r="C25" s="17"/>
      <c r="E25" s="230"/>
    </row>
    <row r="26" spans="1:5">
      <c r="A26" t="s">
        <v>410</v>
      </c>
      <c r="C26" s="17">
        <v>1584800.22</v>
      </c>
      <c r="E26" s="230">
        <v>651529.26</v>
      </c>
    </row>
    <row r="27" spans="1:5">
      <c r="A27" t="s">
        <v>411</v>
      </c>
      <c r="C27" s="17">
        <v>71391.48</v>
      </c>
      <c r="E27" s="230">
        <v>144050.84</v>
      </c>
    </row>
    <row r="28" spans="1:5">
      <c r="A28" t="s">
        <v>412</v>
      </c>
      <c r="C28" s="17"/>
      <c r="E28" s="230">
        <v>170031</v>
      </c>
    </row>
    <row r="29" spans="1:5">
      <c r="A29" t="s">
        <v>450</v>
      </c>
      <c r="C29" s="17">
        <v>2173466.36</v>
      </c>
      <c r="E29" s="230"/>
    </row>
    <row r="30" spans="1:5">
      <c r="A30" t="s">
        <v>413</v>
      </c>
      <c r="C30" s="18">
        <v>51633</v>
      </c>
      <c r="E30" s="231">
        <v>179196.97</v>
      </c>
    </row>
    <row r="31" spans="1:5">
      <c r="C31" s="12">
        <f>SUM(C18:C30)</f>
        <v>123536979.51000001</v>
      </c>
      <c r="E31" s="12">
        <f>SUM(E18:E30)</f>
        <v>129383941.08</v>
      </c>
    </row>
    <row r="32" spans="1:5">
      <c r="C32" s="11"/>
      <c r="E32" s="11"/>
    </row>
    <row r="33" spans="1:5">
      <c r="C33" s="11"/>
      <c r="E33" s="11"/>
    </row>
    <row r="34" spans="1:5">
      <c r="A34" s="67" t="s">
        <v>27</v>
      </c>
      <c r="B34" s="67"/>
      <c r="C34" s="226">
        <f>+C14-C31</f>
        <v>0.21999998390674591</v>
      </c>
      <c r="E34" s="226">
        <f>+E14-E31</f>
        <v>-0.4400000125169754</v>
      </c>
    </row>
    <row r="35" spans="1:5">
      <c r="C35" s="11"/>
    </row>
    <row r="36" spans="1:5">
      <c r="C36" s="11"/>
    </row>
    <row r="37" spans="1:5">
      <c r="C37" s="11"/>
    </row>
    <row r="38" spans="1:5">
      <c r="C38" s="147"/>
    </row>
    <row r="39" spans="1:5">
      <c r="C39" s="14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3220-B440-444C-B993-67663EBA1D41}">
  <dimension ref="A1:AZ36"/>
  <sheetViews>
    <sheetView showGridLines="0" workbookViewId="0">
      <selection activeCell="B10" sqref="B10"/>
    </sheetView>
  </sheetViews>
  <sheetFormatPr defaultRowHeight="14.4"/>
  <cols>
    <col min="1" max="1" width="78" customWidth="1"/>
    <col min="2" max="2" width="22.5546875" bestFit="1" customWidth="1"/>
    <col min="3" max="3" width="4" customWidth="1"/>
    <col min="4" max="4" width="22.5546875" bestFit="1" customWidth="1"/>
    <col min="5" max="5" width="10.44140625" bestFit="1" customWidth="1"/>
  </cols>
  <sheetData>
    <row r="1" spans="1:52" ht="15.6">
      <c r="A1" s="9" t="s">
        <v>339</v>
      </c>
      <c r="B1" s="34" t="str">
        <f>+Start!B3</f>
        <v>Omegapoint Malmö AB (Ink E.Syd)</v>
      </c>
      <c r="D1" s="34" t="str">
        <f>+B1</f>
        <v>Omegapoint Malmö AB (Ink E.Syd)</v>
      </c>
    </row>
    <row r="5" spans="1:52" s="7" customFormat="1" ht="15.6">
      <c r="A5" s="122"/>
      <c r="B5" s="174" t="str">
        <f>+Start!H3</f>
        <v>2025-01--2025-12</v>
      </c>
      <c r="C5" s="6"/>
      <c r="D5" s="220" t="str">
        <f>+Start!I3</f>
        <v>2024-01--2024-12</v>
      </c>
      <c r="E5" s="6"/>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row>
    <row r="6" spans="1:52">
      <c r="B6" s="125" t="s">
        <v>21</v>
      </c>
      <c r="C6" s="6"/>
      <c r="D6" s="6" t="s">
        <v>21</v>
      </c>
    </row>
    <row r="7" spans="1:52">
      <c r="A7" s="16"/>
      <c r="B7" s="11"/>
    </row>
    <row r="8" spans="1:52">
      <c r="A8" s="177" t="s">
        <v>5</v>
      </c>
      <c r="B8" s="11"/>
    </row>
    <row r="9" spans="1:52">
      <c r="A9" t="s">
        <v>329</v>
      </c>
      <c r="B9" s="17">
        <v>90000</v>
      </c>
      <c r="D9" s="230"/>
      <c r="F9" s="49"/>
    </row>
    <row r="10" spans="1:52">
      <c r="A10" t="s">
        <v>340</v>
      </c>
      <c r="B10" s="17"/>
      <c r="D10" s="230">
        <v>90000</v>
      </c>
      <c r="F10" s="49"/>
    </row>
    <row r="11" spans="1:52">
      <c r="A11" s="75" t="s">
        <v>28</v>
      </c>
      <c r="B11" s="17"/>
      <c r="D11" s="230"/>
      <c r="F11" s="49"/>
    </row>
    <row r="12" spans="1:52">
      <c r="A12" s="48"/>
      <c r="B12" s="18"/>
      <c r="D12" s="231"/>
    </row>
    <row r="13" spans="1:52">
      <c r="A13" s="16" t="s">
        <v>29</v>
      </c>
      <c r="B13" s="12">
        <f>SUM(B9:B12)</f>
        <v>90000</v>
      </c>
      <c r="C13" s="16"/>
      <c r="D13" s="12">
        <f>SUM(D9:D12)</f>
        <v>90000</v>
      </c>
    </row>
    <row r="14" spans="1:52">
      <c r="B14" s="11"/>
      <c r="D14" s="11"/>
    </row>
    <row r="15" spans="1:52">
      <c r="A15" s="69" t="s">
        <v>183</v>
      </c>
    </row>
    <row r="16" spans="1:52">
      <c r="A16" t="str">
        <f>+A9</f>
        <v>Cedra Sverige AB</v>
      </c>
      <c r="B16" s="17"/>
      <c r="D16" s="230"/>
      <c r="J16" s="4"/>
      <c r="K16" s="4"/>
      <c r="L16" s="4"/>
      <c r="M16" s="4"/>
      <c r="N16" s="4"/>
      <c r="O16" s="4"/>
      <c r="P16" s="4"/>
      <c r="Q16" s="4"/>
      <c r="R16" s="4"/>
      <c r="S16" s="4"/>
    </row>
    <row r="17" spans="1:19">
      <c r="A17" t="s">
        <v>340</v>
      </c>
      <c r="B17" s="17"/>
      <c r="D17" s="230"/>
      <c r="J17" s="4"/>
      <c r="K17" s="4"/>
      <c r="L17" s="4"/>
      <c r="M17" s="4"/>
      <c r="N17" s="4"/>
      <c r="O17" s="4"/>
      <c r="P17" s="4"/>
      <c r="Q17" s="4"/>
      <c r="R17" s="4"/>
      <c r="S17" s="4"/>
    </row>
    <row r="18" spans="1:19">
      <c r="A18" s="75" t="s">
        <v>28</v>
      </c>
      <c r="B18" s="17"/>
      <c r="D18" s="230"/>
      <c r="J18" s="4"/>
      <c r="K18" s="4"/>
      <c r="L18" s="4"/>
      <c r="M18" s="4"/>
      <c r="N18" s="4"/>
      <c r="O18" s="4"/>
      <c r="P18" s="4"/>
      <c r="Q18" s="4"/>
      <c r="R18" s="4"/>
      <c r="S18" s="4"/>
    </row>
    <row r="19" spans="1:19">
      <c r="A19" s="48"/>
      <c r="B19" s="18"/>
      <c r="D19" s="231"/>
      <c r="J19" s="4"/>
      <c r="K19" s="4"/>
      <c r="L19" s="4"/>
      <c r="M19" s="4"/>
      <c r="N19" s="4"/>
      <c r="O19" s="4"/>
      <c r="P19" s="4"/>
      <c r="Q19" s="4"/>
      <c r="R19" s="4"/>
      <c r="S19" s="4"/>
    </row>
    <row r="20" spans="1:19">
      <c r="A20" s="16" t="s">
        <v>29</v>
      </c>
      <c r="B20" s="12">
        <f>SUM(B16:B19)</f>
        <v>0</v>
      </c>
      <c r="C20" s="16"/>
      <c r="D20" s="12">
        <f>SUM(D16:D19)</f>
        <v>0</v>
      </c>
      <c r="J20" s="4"/>
      <c r="K20" s="4"/>
      <c r="L20" s="4"/>
      <c r="M20" s="4"/>
      <c r="N20" s="4"/>
      <c r="O20" s="4"/>
      <c r="P20" s="4"/>
      <c r="Q20" s="4"/>
      <c r="R20" s="4"/>
      <c r="S20" s="4"/>
    </row>
    <row r="21" spans="1:19">
      <c r="J21" s="4"/>
      <c r="K21" s="4"/>
      <c r="L21" s="4"/>
      <c r="M21" s="4"/>
      <c r="N21" s="4"/>
      <c r="O21" s="4"/>
      <c r="P21" s="4"/>
      <c r="Q21" s="4"/>
      <c r="R21" s="4"/>
      <c r="S21" s="4"/>
    </row>
    <row r="22" spans="1:19">
      <c r="A22" s="69" t="s">
        <v>199</v>
      </c>
      <c r="J22" s="4"/>
      <c r="K22" s="4"/>
      <c r="L22" s="4"/>
      <c r="M22" s="4"/>
      <c r="N22" s="4"/>
      <c r="O22" s="4"/>
      <c r="P22" s="4"/>
      <c r="Q22" s="4"/>
      <c r="R22" s="4"/>
      <c r="S22" s="4"/>
    </row>
    <row r="23" spans="1:19">
      <c r="A23" t="str">
        <f>+A9</f>
        <v>Cedra Sverige AB</v>
      </c>
      <c r="B23" s="17"/>
      <c r="D23" s="230"/>
      <c r="J23" s="4"/>
      <c r="K23" s="4"/>
      <c r="L23" s="4"/>
      <c r="M23" s="4"/>
      <c r="N23" s="4"/>
      <c r="O23" s="4"/>
      <c r="P23" s="4"/>
      <c r="Q23" s="4"/>
      <c r="R23" s="4"/>
      <c r="S23" s="4"/>
    </row>
    <row r="24" spans="1:19">
      <c r="A24" t="s">
        <v>340</v>
      </c>
      <c r="B24" s="17"/>
      <c r="D24" s="230"/>
      <c r="J24" s="4"/>
      <c r="K24" s="4"/>
      <c r="L24" s="4"/>
      <c r="M24" s="4"/>
      <c r="N24" s="4"/>
      <c r="O24" s="4"/>
      <c r="P24" s="4"/>
      <c r="Q24" s="4"/>
      <c r="R24" s="4"/>
      <c r="S24" s="4"/>
    </row>
    <row r="25" spans="1:19">
      <c r="A25" s="75" t="s">
        <v>28</v>
      </c>
      <c r="B25" s="17"/>
      <c r="D25" s="230"/>
      <c r="J25" s="4"/>
      <c r="K25" s="4"/>
      <c r="L25" s="4"/>
      <c r="M25" s="4"/>
      <c r="N25" s="4"/>
      <c r="O25" s="4"/>
      <c r="P25" s="4"/>
      <c r="Q25" s="4"/>
      <c r="R25" s="4"/>
      <c r="S25" s="4"/>
    </row>
    <row r="26" spans="1:19">
      <c r="A26" s="48"/>
      <c r="B26" s="18"/>
      <c r="D26" s="231"/>
      <c r="J26" s="4"/>
      <c r="K26" s="4"/>
      <c r="L26" s="4"/>
      <c r="M26" s="4"/>
      <c r="N26" s="4"/>
      <c r="O26" s="4"/>
      <c r="P26" s="4"/>
      <c r="Q26" s="4"/>
      <c r="R26" s="4"/>
      <c r="S26" s="4"/>
    </row>
    <row r="27" spans="1:19">
      <c r="A27" s="16" t="s">
        <v>29</v>
      </c>
      <c r="B27" s="12">
        <f>SUM(B23:B26)</f>
        <v>0</v>
      </c>
      <c r="C27" s="16"/>
      <c r="D27" s="12">
        <f>SUM(D23:D26)</f>
        <v>0</v>
      </c>
      <c r="J27" s="4"/>
      <c r="K27" s="4"/>
      <c r="L27" s="4"/>
      <c r="M27" s="4"/>
      <c r="N27" s="4"/>
      <c r="O27" s="4"/>
      <c r="P27" s="4"/>
      <c r="Q27" s="4"/>
      <c r="R27" s="4"/>
      <c r="S27" s="4"/>
    </row>
    <row r="28" spans="1:19">
      <c r="J28" s="4"/>
      <c r="K28" s="4"/>
      <c r="L28" s="4"/>
      <c r="M28" s="4"/>
      <c r="N28" s="4"/>
      <c r="O28" s="4"/>
      <c r="P28" s="4"/>
      <c r="Q28" s="4"/>
      <c r="R28" s="4"/>
      <c r="S28" s="4"/>
    </row>
    <row r="29" spans="1:19">
      <c r="J29" s="4"/>
      <c r="K29" s="4"/>
      <c r="L29" s="4"/>
      <c r="M29" s="4"/>
      <c r="N29" s="4"/>
      <c r="O29" s="4"/>
      <c r="P29" s="4"/>
      <c r="Q29" s="4"/>
      <c r="R29" s="4"/>
      <c r="S29" s="4"/>
    </row>
    <row r="30" spans="1:19" ht="17.399999999999999">
      <c r="A30" s="178" t="s">
        <v>242</v>
      </c>
      <c r="B30" s="62"/>
      <c r="C30" s="62"/>
      <c r="D30" s="63"/>
      <c r="J30" s="4"/>
      <c r="K30" s="4"/>
      <c r="L30" s="4"/>
      <c r="M30" s="4"/>
      <c r="N30" s="4"/>
      <c r="O30" s="4"/>
      <c r="P30" s="4"/>
      <c r="Q30" s="4"/>
      <c r="R30" s="4"/>
      <c r="S30" s="4"/>
    </row>
    <row r="31" spans="1:19">
      <c r="A31" s="131" t="str">
        <f>+A9</f>
        <v>Cedra Sverige AB</v>
      </c>
      <c r="B31" s="47">
        <f>+B9+B16+B23</f>
        <v>90000</v>
      </c>
      <c r="C31" s="4"/>
      <c r="D31" s="138">
        <f>+D9+D16+D23</f>
        <v>0</v>
      </c>
    </row>
    <row r="32" spans="1:19">
      <c r="A32" s="4" t="s">
        <v>340</v>
      </c>
      <c r="B32" s="47">
        <f>+B10+B17+B24</f>
        <v>0</v>
      </c>
      <c r="C32" s="4"/>
      <c r="D32" s="138">
        <f>+D10+D17+D24</f>
        <v>90000</v>
      </c>
    </row>
    <row r="33" spans="1:4">
      <c r="A33" s="75" t="s">
        <v>28</v>
      </c>
      <c r="B33" s="47">
        <f t="shared" ref="B33:B34" si="0">+B11+B18+B25</f>
        <v>0</v>
      </c>
      <c r="C33" s="4"/>
      <c r="D33" s="138">
        <f>+D11+D18+D25</f>
        <v>0</v>
      </c>
    </row>
    <row r="34" spans="1:4">
      <c r="A34" s="179"/>
      <c r="B34" s="95">
        <f t="shared" si="0"/>
        <v>0</v>
      </c>
      <c r="C34" s="53"/>
      <c r="D34" s="180">
        <f>+D12+D19+D26</f>
        <v>0</v>
      </c>
    </row>
    <row r="35" spans="1:4">
      <c r="A35" s="181" t="s">
        <v>29</v>
      </c>
      <c r="B35" s="182">
        <f>SUM(B31:B34)</f>
        <v>90000</v>
      </c>
      <c r="C35" s="183"/>
      <c r="D35" s="184">
        <f>SUM(D31:D34)</f>
        <v>90000</v>
      </c>
    </row>
    <row r="36" spans="1:4">
      <c r="A36" s="4"/>
      <c r="B36" s="4"/>
      <c r="C36" s="4"/>
      <c r="D36"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90D9-4243-4853-8A63-77034FB42015}">
  <dimension ref="A1:P65"/>
  <sheetViews>
    <sheetView showGridLines="0" zoomScale="90" zoomScaleNormal="90" workbookViewId="0">
      <selection activeCell="D10" sqref="D10"/>
    </sheetView>
  </sheetViews>
  <sheetFormatPr defaultRowHeight="14.4"/>
  <cols>
    <col min="1" max="1" width="15.5546875" style="50" customWidth="1"/>
    <col min="2" max="2" width="76.5546875" customWidth="1"/>
    <col min="3" max="3" width="60" customWidth="1"/>
    <col min="4" max="4" width="23.21875" customWidth="1"/>
    <col min="6" max="6" width="5" bestFit="1" customWidth="1"/>
    <col min="7" max="7" width="8.21875" bestFit="1" customWidth="1"/>
    <col min="8" max="8" width="11.5546875" bestFit="1" customWidth="1"/>
    <col min="9" max="10" width="1.21875" customWidth="1"/>
    <col min="11" max="11" width="1.77734375" customWidth="1"/>
    <col min="12" max="12" width="45.44140625" bestFit="1" customWidth="1"/>
    <col min="13" max="13" width="44.5546875" customWidth="1"/>
    <col min="14" max="14" width="13.77734375" bestFit="1" customWidth="1"/>
    <col min="15" max="15" width="12.77734375" bestFit="1" customWidth="1"/>
  </cols>
  <sheetData>
    <row r="1" spans="1:8" ht="18">
      <c r="B1" s="5" t="s">
        <v>245</v>
      </c>
      <c r="D1" s="34" t="str">
        <f>+[1]Data!B3</f>
        <v>Omegapoint Malmö AB (Ink E.Syd)</v>
      </c>
    </row>
    <row r="4" spans="1:8">
      <c r="D4" s="6"/>
    </row>
    <row r="7" spans="1:8">
      <c r="B7" s="7"/>
      <c r="C7" s="7"/>
      <c r="D7" s="220" t="str">
        <f>+[1]Data!H3</f>
        <v>2025-01--2025-12</v>
      </c>
    </row>
    <row r="8" spans="1:8" ht="15.6">
      <c r="B8" s="9"/>
      <c r="C8" s="14"/>
      <c r="D8" s="207" t="s">
        <v>246</v>
      </c>
    </row>
    <row r="9" spans="1:8">
      <c r="D9" s="11"/>
      <c r="F9" s="448"/>
      <c r="G9" s="448"/>
      <c r="H9" s="448"/>
    </row>
    <row r="10" spans="1:8">
      <c r="A10" s="50">
        <v>8910</v>
      </c>
      <c r="B10" t="s">
        <v>30</v>
      </c>
      <c r="C10" s="15"/>
      <c r="D10" s="12">
        <f>IF(D20&lt;0,0,(D20+D49-D65)*C22)</f>
        <v>2164030.7394988001</v>
      </c>
      <c r="F10" s="4"/>
      <c r="G10" s="4"/>
      <c r="H10" s="47"/>
    </row>
    <row r="11" spans="1:8">
      <c r="A11" s="51" t="s">
        <v>290</v>
      </c>
      <c r="B11" t="s">
        <v>31</v>
      </c>
      <c r="C11" s="15"/>
      <c r="D11" s="52"/>
      <c r="F11" s="4"/>
      <c r="G11" s="4"/>
      <c r="H11" s="47"/>
    </row>
    <row r="12" spans="1:8">
      <c r="A12" s="51" t="s">
        <v>290</v>
      </c>
      <c r="B12" t="s">
        <v>32</v>
      </c>
      <c r="C12" s="15"/>
      <c r="D12" s="52"/>
      <c r="F12" s="4"/>
      <c r="G12" s="4"/>
      <c r="H12" s="47"/>
    </row>
    <row r="13" spans="1:8">
      <c r="A13" s="50" t="s">
        <v>290</v>
      </c>
      <c r="B13" t="s">
        <v>33</v>
      </c>
      <c r="D13" s="76">
        <f>-D51*C22</f>
        <v>0</v>
      </c>
      <c r="F13" s="4"/>
      <c r="G13" s="4"/>
      <c r="H13" s="47"/>
    </row>
    <row r="14" spans="1:8" ht="15" thickBot="1">
      <c r="B14" s="54" t="s">
        <v>34</v>
      </c>
      <c r="C14" s="55"/>
      <c r="D14" s="56">
        <f>SUM(D10:D13)</f>
        <v>2164030.7394988001</v>
      </c>
      <c r="F14" s="4"/>
      <c r="G14" s="4"/>
      <c r="H14" s="4"/>
    </row>
    <row r="15" spans="1:8" ht="15" thickTop="1">
      <c r="D15" s="11"/>
      <c r="F15" s="4"/>
      <c r="G15" s="4"/>
      <c r="H15" s="4"/>
    </row>
    <row r="16" spans="1:8" ht="18">
      <c r="B16" s="5" t="s">
        <v>248</v>
      </c>
      <c r="D16" s="11"/>
      <c r="F16" s="11"/>
    </row>
    <row r="17" spans="1:15">
      <c r="B17" s="7"/>
      <c r="C17" s="7"/>
      <c r="D17" s="175"/>
    </row>
    <row r="18" spans="1:15" ht="15.6">
      <c r="B18" s="9"/>
      <c r="C18" s="208" t="s">
        <v>36</v>
      </c>
      <c r="D18" s="207" t="s">
        <v>246</v>
      </c>
    </row>
    <row r="20" spans="1:15" ht="17.399999999999999">
      <c r="B20" s="209" t="s">
        <v>461</v>
      </c>
      <c r="C20" s="210"/>
      <c r="D20" s="268">
        <v>2197353.5099999998</v>
      </c>
      <c r="G20" s="11"/>
    </row>
    <row r="21" spans="1:15">
      <c r="C21" s="15"/>
      <c r="D21" s="11"/>
      <c r="G21" s="11"/>
      <c r="L21" s="28" t="s">
        <v>283</v>
      </c>
    </row>
    <row r="22" spans="1:15">
      <c r="B22" t="s">
        <v>169</v>
      </c>
      <c r="C22" s="57">
        <f>+[1]Data!J3</f>
        <v>0.20599999999999999</v>
      </c>
      <c r="D22" s="11"/>
      <c r="G22" s="11"/>
    </row>
    <row r="23" spans="1:15" ht="8.25" customHeight="1">
      <c r="C23" s="227"/>
      <c r="D23" s="11"/>
      <c r="G23" s="11"/>
    </row>
    <row r="24" spans="1:15">
      <c r="C24" s="29"/>
      <c r="D24" s="11"/>
      <c r="L24" s="60">
        <f>+D20</f>
        <v>2197353.5099999998</v>
      </c>
      <c r="M24" s="62"/>
      <c r="N24" s="62"/>
      <c r="O24" s="63"/>
    </row>
    <row r="25" spans="1:15">
      <c r="B25" s="28" t="s">
        <v>38</v>
      </c>
      <c r="C25" s="15"/>
      <c r="D25" s="11"/>
      <c r="G25" s="11"/>
      <c r="L25" s="58">
        <f>-L24*C22</f>
        <v>-452654.82305999991</v>
      </c>
      <c r="M25" t="s">
        <v>39</v>
      </c>
      <c r="O25" s="64">
        <f>-L25/L24</f>
        <v>0.20599999999999999</v>
      </c>
    </row>
    <row r="26" spans="1:15">
      <c r="A26" s="51">
        <v>8423</v>
      </c>
      <c r="B26" t="s">
        <v>40</v>
      </c>
      <c r="C26" s="15"/>
      <c r="D26" s="17"/>
      <c r="L26" s="59">
        <f>+L24+L25</f>
        <v>1744698.6869399999</v>
      </c>
      <c r="M26" s="7"/>
      <c r="N26" s="7"/>
      <c r="O26" s="22"/>
    </row>
    <row r="27" spans="1:15">
      <c r="A27" s="51">
        <v>6072</v>
      </c>
      <c r="B27" t="s">
        <v>172</v>
      </c>
      <c r="C27" s="15"/>
      <c r="D27" s="17">
        <v>207487.77</v>
      </c>
      <c r="G27" s="11"/>
    </row>
    <row r="28" spans="1:15">
      <c r="A28" s="51">
        <v>7632</v>
      </c>
      <c r="B28" t="s">
        <v>171</v>
      </c>
      <c r="C28" s="15"/>
      <c r="D28" s="17">
        <v>395171.99</v>
      </c>
      <c r="L28" s="60">
        <f>+D20</f>
        <v>2197353.5099999998</v>
      </c>
      <c r="M28" s="62"/>
      <c r="N28" s="62"/>
      <c r="O28" s="63"/>
    </row>
    <row r="29" spans="1:15">
      <c r="A29" s="51">
        <v>7635</v>
      </c>
      <c r="B29" t="s">
        <v>173</v>
      </c>
      <c r="C29" s="15"/>
      <c r="D29" s="17">
        <v>37670</v>
      </c>
      <c r="L29" s="58">
        <f>+D14</f>
        <v>2164030.7394988001</v>
      </c>
      <c r="M29" t="s">
        <v>42</v>
      </c>
      <c r="O29" s="64">
        <f>-L29/L28</f>
        <v>-0.9848350434513381</v>
      </c>
    </row>
    <row r="30" spans="1:15">
      <c r="A30" s="51">
        <v>6982</v>
      </c>
      <c r="B30" t="s">
        <v>41</v>
      </c>
      <c r="C30" s="15"/>
      <c r="D30" s="17"/>
      <c r="G30" s="11"/>
      <c r="L30" s="59">
        <f>+L28+L29</f>
        <v>4361384.2494987994</v>
      </c>
      <c r="M30" s="7"/>
      <c r="N30" s="7"/>
      <c r="O30" s="22"/>
    </row>
    <row r="31" spans="1:15">
      <c r="A31" s="51" t="s">
        <v>247</v>
      </c>
      <c r="B31" t="s">
        <v>175</v>
      </c>
      <c r="C31" s="15"/>
      <c r="D31" s="17"/>
    </row>
    <row r="32" spans="1:15">
      <c r="A32" s="51" t="s">
        <v>247</v>
      </c>
      <c r="B32" t="s">
        <v>176</v>
      </c>
      <c r="C32" s="15"/>
      <c r="D32" s="17"/>
      <c r="L32" s="60">
        <f>+L24</f>
        <v>2197353.5099999998</v>
      </c>
      <c r="M32" s="62"/>
      <c r="N32" s="62"/>
      <c r="O32" s="63"/>
    </row>
    <row r="33" spans="1:15">
      <c r="A33" s="51">
        <v>6992</v>
      </c>
      <c r="B33" t="s">
        <v>170</v>
      </c>
      <c r="C33" s="15"/>
      <c r="D33" s="17">
        <v>712.8</v>
      </c>
      <c r="L33" s="58">
        <f>-L25</f>
        <v>452654.82305999991</v>
      </c>
      <c r="M33" t="s">
        <v>44</v>
      </c>
      <c r="O33" s="21"/>
    </row>
    <row r="34" spans="1:15">
      <c r="A34" s="51">
        <v>6993</v>
      </c>
      <c r="B34" t="s">
        <v>43</v>
      </c>
      <c r="C34" s="15"/>
      <c r="D34" s="17">
        <v>2096</v>
      </c>
      <c r="H34" s="147">
        <f>D49*C22</f>
        <v>1725740.7929399998</v>
      </c>
      <c r="L34" s="58">
        <f>IF(D20&lt;0,0,D49*C22)</f>
        <v>1725740.7929399998</v>
      </c>
      <c r="M34" t="s">
        <v>45</v>
      </c>
      <c r="O34" s="21"/>
    </row>
    <row r="35" spans="1:15">
      <c r="A35" s="51">
        <v>7818</v>
      </c>
      <c r="B35" t="s">
        <v>270</v>
      </c>
      <c r="C35" s="15"/>
      <c r="D35" s="17">
        <v>7664532.6699999999</v>
      </c>
      <c r="H35" s="147">
        <f>D65*C22</f>
        <v>14364.876501199999</v>
      </c>
      <c r="L35" s="301">
        <f>IF(D20&lt;0,0,-D65*C22)</f>
        <v>-14364.876501199999</v>
      </c>
      <c r="M35" t="s">
        <v>47</v>
      </c>
      <c r="O35" s="21"/>
    </row>
    <row r="36" spans="1:15">
      <c r="A36" s="51" t="s">
        <v>247</v>
      </c>
      <c r="B36" t="s">
        <v>271</v>
      </c>
      <c r="D36" s="17"/>
      <c r="L36" s="301">
        <f>-D52*C22</f>
        <v>0</v>
      </c>
      <c r="M36" t="s">
        <v>282</v>
      </c>
      <c r="O36" s="21"/>
    </row>
    <row r="37" spans="1:15">
      <c r="A37" s="51" t="s">
        <v>247</v>
      </c>
      <c r="B37" t="s">
        <v>272</v>
      </c>
      <c r="D37" s="17"/>
      <c r="L37" s="58">
        <f>IF(D20&lt;0,0,-(D59+D60)*C22)</f>
        <v>0</v>
      </c>
      <c r="M37" t="s">
        <v>324</v>
      </c>
      <c r="O37" s="21"/>
    </row>
    <row r="38" spans="1:15">
      <c r="A38" s="51" t="s">
        <v>247</v>
      </c>
      <c r="B38" t="s">
        <v>174</v>
      </c>
      <c r="D38" s="17"/>
      <c r="L38" s="58">
        <f>IF(D20&lt;0, -D20*C22, 0)</f>
        <v>0</v>
      </c>
      <c r="M38" t="s">
        <v>61</v>
      </c>
      <c r="O38" s="21"/>
    </row>
    <row r="39" spans="1:15">
      <c r="A39" s="51" t="s">
        <v>247</v>
      </c>
      <c r="B39" t="s">
        <v>46</v>
      </c>
      <c r="D39" s="17"/>
      <c r="L39" s="59">
        <f>+D12</f>
        <v>0</v>
      </c>
      <c r="M39" s="7" t="s">
        <v>49</v>
      </c>
      <c r="N39" s="7"/>
      <c r="O39" s="22"/>
    </row>
    <row r="40" spans="1:15">
      <c r="A40" s="51" t="s">
        <v>247</v>
      </c>
      <c r="B40" t="s">
        <v>48</v>
      </c>
      <c r="D40" s="17"/>
      <c r="L40" s="35">
        <f>SUM(L32:L39)-L30</f>
        <v>0</v>
      </c>
      <c r="M40" s="75" t="s">
        <v>50</v>
      </c>
    </row>
    <row r="41" spans="1:15">
      <c r="A41" s="51" t="s">
        <v>247</v>
      </c>
      <c r="B41" t="s">
        <v>273</v>
      </c>
      <c r="D41" s="17"/>
    </row>
    <row r="42" spans="1:15">
      <c r="A42" s="51" t="s">
        <v>247</v>
      </c>
      <c r="B42" s="67" t="s">
        <v>274</v>
      </c>
      <c r="D42" s="17"/>
    </row>
    <row r="43" spans="1:15">
      <c r="A43" s="51" t="s">
        <v>247</v>
      </c>
      <c r="B43" s="67" t="s">
        <v>275</v>
      </c>
      <c r="D43" s="17"/>
      <c r="L43" s="149"/>
      <c r="M43" s="40"/>
      <c r="N43" s="40"/>
      <c r="O43" s="39"/>
    </row>
    <row r="44" spans="1:15" ht="15.6">
      <c r="A44" s="51" t="s">
        <v>247</v>
      </c>
      <c r="B44" t="s">
        <v>314</v>
      </c>
      <c r="C44" s="15"/>
      <c r="D44" s="17"/>
      <c r="L44" s="150" t="str">
        <f>+D1</f>
        <v>Omegapoint Malmö AB (Ink E.Syd)</v>
      </c>
      <c r="M44" s="14"/>
      <c r="N44" s="10" t="str">
        <f>+D7</f>
        <v>2025-01--2025-12</v>
      </c>
      <c r="O44" s="21"/>
    </row>
    <row r="45" spans="1:15">
      <c r="A45" s="51" t="s">
        <v>247</v>
      </c>
      <c r="B45" t="s">
        <v>485</v>
      </c>
      <c r="C45" s="15"/>
      <c r="D45" s="343">
        <v>67095.63</v>
      </c>
      <c r="L45" s="141"/>
      <c r="O45" s="21"/>
    </row>
    <row r="46" spans="1:15">
      <c r="A46" s="51">
        <v>6902</v>
      </c>
      <c r="B46" t="s">
        <v>462</v>
      </c>
      <c r="C46" s="14"/>
      <c r="D46" s="17">
        <v>2615.63</v>
      </c>
      <c r="L46" s="141" t="s">
        <v>53</v>
      </c>
      <c r="M46" s="15"/>
      <c r="N46" s="11">
        <f>+D10+D12+D13</f>
        <v>2164030.7394988001</v>
      </c>
      <c r="O46" s="21"/>
    </row>
    <row r="47" spans="1:15">
      <c r="A47" s="51" t="s">
        <v>247</v>
      </c>
      <c r="B47" t="s">
        <v>281</v>
      </c>
      <c r="C47" s="14"/>
      <c r="D47" s="17"/>
      <c r="L47" s="141" t="s">
        <v>54</v>
      </c>
      <c r="M47" s="176"/>
      <c r="N47" s="146">
        <f>+D11</f>
        <v>0</v>
      </c>
      <c r="O47" s="21"/>
    </row>
    <row r="48" spans="1:15">
      <c r="A48" s="51" t="s">
        <v>247</v>
      </c>
      <c r="B48" t="s">
        <v>281</v>
      </c>
      <c r="C48" s="14"/>
      <c r="D48" s="17"/>
      <c r="L48" s="141"/>
      <c r="N48" s="47">
        <f>SUM(N46:N47)</f>
        <v>2164030.7394988001</v>
      </c>
      <c r="O48" s="21"/>
    </row>
    <row r="49" spans="1:16">
      <c r="D49" s="12">
        <f>SUM(D26:D48)</f>
        <v>8377382.4900000002</v>
      </c>
      <c r="L49" s="151" t="s">
        <v>35</v>
      </c>
      <c r="N49" s="4"/>
      <c r="O49" s="21"/>
    </row>
    <row r="50" spans="1:16" ht="15.6">
      <c r="B50" s="28" t="s">
        <v>249</v>
      </c>
      <c r="D50" s="12"/>
      <c r="L50" s="150"/>
      <c r="M50" s="10" t="s">
        <v>36</v>
      </c>
      <c r="N50" s="41" t="s">
        <v>21</v>
      </c>
      <c r="O50" s="21"/>
    </row>
    <row r="51" spans="1:16">
      <c r="A51" s="51" t="s">
        <v>250</v>
      </c>
      <c r="B51" t="s">
        <v>52</v>
      </c>
      <c r="D51" s="18"/>
      <c r="L51" s="141"/>
      <c r="N51" s="4"/>
      <c r="O51" s="21"/>
    </row>
    <row r="52" spans="1:16">
      <c r="A52" s="66"/>
      <c r="D52" s="12">
        <f>SUM(D51)</f>
        <v>0</v>
      </c>
      <c r="L52" s="141" t="s">
        <v>58</v>
      </c>
      <c r="M52" s="15"/>
      <c r="N52" s="47">
        <f>+D20</f>
        <v>2197353.5099999998</v>
      </c>
      <c r="O52" s="21"/>
    </row>
    <row r="53" spans="1:16">
      <c r="D53" s="12"/>
      <c r="L53" s="141"/>
      <c r="M53" s="15"/>
      <c r="N53" s="11"/>
      <c r="O53" s="21"/>
    </row>
    <row r="54" spans="1:16">
      <c r="B54" s="28" t="s">
        <v>55</v>
      </c>
      <c r="C54" s="15"/>
      <c r="D54" s="11"/>
      <c r="L54" s="141" t="s">
        <v>37</v>
      </c>
      <c r="M54" s="15">
        <f>(+C22)*100</f>
        <v>20.599999999999998</v>
      </c>
      <c r="N54" s="76">
        <f>+N52*M54/100</f>
        <v>452654.82305999997</v>
      </c>
      <c r="O54" s="21"/>
    </row>
    <row r="55" spans="1:16">
      <c r="A55" s="51" t="s">
        <v>247</v>
      </c>
      <c r="B55" t="s">
        <v>56</v>
      </c>
      <c r="C55" s="15"/>
      <c r="D55" s="17"/>
      <c r="L55" s="141" t="s">
        <v>59</v>
      </c>
      <c r="M55" s="15">
        <f>+N55/$N$52*100</f>
        <v>6.6829056977727754</v>
      </c>
      <c r="N55" s="47">
        <f>-IF(D20&lt;0,0,-(D49+D41-D35)*C22)</f>
        <v>146847.06292000005</v>
      </c>
      <c r="O55" s="21"/>
    </row>
    <row r="56" spans="1:16">
      <c r="A56" s="51">
        <v>8314</v>
      </c>
      <c r="B56" t="s">
        <v>57</v>
      </c>
      <c r="C56" s="15"/>
      <c r="D56" s="17">
        <v>6538</v>
      </c>
      <c r="L56" s="141" t="s">
        <v>47</v>
      </c>
      <c r="M56" s="15">
        <f>+N56/$N$52*100</f>
        <v>-0.65373534280335255</v>
      </c>
      <c r="N56" s="47">
        <f>IF(D20&lt;0,0,-D65*C22)</f>
        <v>-14364.876501199999</v>
      </c>
      <c r="O56" s="21"/>
    </row>
    <row r="57" spans="1:16">
      <c r="A57" s="66"/>
      <c r="B57" s="67" t="s">
        <v>276</v>
      </c>
      <c r="C57" s="15"/>
      <c r="D57" s="17"/>
      <c r="L57" s="141" t="s">
        <v>60</v>
      </c>
      <c r="M57" s="15">
        <f t="shared" ref="M57:M63" si="0">+N57/$N$52*100</f>
        <v>71.854333990164378</v>
      </c>
      <c r="N57" s="47">
        <f>IF(D20&lt;0,0,D35*C22)</f>
        <v>1578893.7300199999</v>
      </c>
      <c r="O57" s="300">
        <f>+N57+N55</f>
        <v>1725740.7929400001</v>
      </c>
    </row>
    <row r="58" spans="1:16">
      <c r="A58" s="66"/>
      <c r="B58" s="67" t="s">
        <v>277</v>
      </c>
      <c r="C58" s="15"/>
      <c r="D58" s="17"/>
      <c r="L58" s="141" t="s">
        <v>323</v>
      </c>
      <c r="M58" s="15">
        <f>+N58/$N$52*100</f>
        <v>0</v>
      </c>
      <c r="N58" s="47">
        <f>IF(D20&lt;0,0,(-Skatt!D59-Skatt!D60)*C22)</f>
        <v>0</v>
      </c>
      <c r="O58" s="21"/>
    </row>
    <row r="59" spans="1:16">
      <c r="A59" s="66"/>
      <c r="B59" t="s">
        <v>278</v>
      </c>
      <c r="C59" s="15"/>
      <c r="D59" s="17"/>
      <c r="E59" t="s">
        <v>463</v>
      </c>
      <c r="L59" s="141" t="s">
        <v>61</v>
      </c>
      <c r="M59" s="15">
        <f t="shared" si="0"/>
        <v>0</v>
      </c>
      <c r="N59" s="47">
        <f>+IF(D20&lt;0,-D20,0)*C22</f>
        <v>0</v>
      </c>
      <c r="O59" s="21"/>
      <c r="P59" s="11"/>
    </row>
    <row r="60" spans="1:16">
      <c r="A60" s="66"/>
      <c r="B60" t="s">
        <v>279</v>
      </c>
      <c r="C60" s="15"/>
      <c r="D60" s="17"/>
      <c r="E60" t="s">
        <v>463</v>
      </c>
      <c r="L60" s="141" t="s">
        <v>62</v>
      </c>
      <c r="M60" s="15">
        <f t="shared" si="0"/>
        <v>0</v>
      </c>
      <c r="N60" s="47">
        <f>+D41*C22</f>
        <v>0</v>
      </c>
      <c r="O60" s="21"/>
    </row>
    <row r="61" spans="1:16">
      <c r="A61" s="66"/>
      <c r="B61" s="4" t="s">
        <v>280</v>
      </c>
      <c r="C61" s="15"/>
      <c r="D61" s="343">
        <v>63194.410199999998</v>
      </c>
      <c r="L61" s="141" t="s">
        <v>63</v>
      </c>
      <c r="M61" s="15">
        <f t="shared" si="0"/>
        <v>0</v>
      </c>
      <c r="N61" s="47">
        <f>-D51*C22</f>
        <v>0</v>
      </c>
      <c r="O61" s="21"/>
    </row>
    <row r="62" spans="1:16">
      <c r="A62" s="66"/>
      <c r="B62" t="s">
        <v>281</v>
      </c>
      <c r="D62" s="1"/>
      <c r="L62" s="141" t="s">
        <v>64</v>
      </c>
      <c r="M62" s="176">
        <f t="shared" si="0"/>
        <v>0</v>
      </c>
      <c r="N62" s="146">
        <f>+D12</f>
        <v>0</v>
      </c>
      <c r="O62" s="21"/>
    </row>
    <row r="63" spans="1:16">
      <c r="B63" t="s">
        <v>281</v>
      </c>
      <c r="D63" s="1"/>
      <c r="L63" s="141"/>
      <c r="M63" s="15">
        <f t="shared" si="0"/>
        <v>98.483504345133781</v>
      </c>
      <c r="N63" s="12">
        <f>SUM(N54:N62)</f>
        <v>2164030.7394987997</v>
      </c>
      <c r="O63" s="21"/>
    </row>
    <row r="64" spans="1:16">
      <c r="B64" s="28" t="s">
        <v>51</v>
      </c>
      <c r="D64" s="228"/>
      <c r="L64" s="141"/>
      <c r="M64" s="15"/>
      <c r="N64" s="11">
        <f>+N48</f>
        <v>2164030.7394988001</v>
      </c>
      <c r="O64" s="21"/>
    </row>
    <row r="65" spans="2:15">
      <c r="B65" s="173"/>
      <c r="D65" s="12">
        <f>SUM(D55:D64)</f>
        <v>69732.410199999998</v>
      </c>
      <c r="L65" s="148"/>
      <c r="M65" s="176"/>
      <c r="N65" s="229">
        <f>+N63-N64</f>
        <v>0</v>
      </c>
      <c r="O65" s="22"/>
    </row>
  </sheetData>
  <mergeCells count="1">
    <mergeCell ref="F9:H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7ABF-10D3-42CF-8D4F-2348F818FF82}">
  <dimension ref="A1:F68"/>
  <sheetViews>
    <sheetView showGridLines="0" workbookViewId="0">
      <selection activeCell="T22" sqref="T22"/>
    </sheetView>
  </sheetViews>
  <sheetFormatPr defaultRowHeight="14.4"/>
  <cols>
    <col min="1" max="1" width="69.5546875" customWidth="1"/>
    <col min="2" max="2" width="21.77734375" bestFit="1" customWidth="1"/>
    <col min="3" max="3" width="4.77734375" style="4" customWidth="1"/>
    <col min="4" max="4" width="21.77734375" bestFit="1" customWidth="1"/>
    <col min="5" max="5" width="15.21875" style="21" customWidth="1"/>
    <col min="6" max="6" width="26.77734375" style="4" customWidth="1"/>
  </cols>
  <sheetData>
    <row r="1" spans="1:4" ht="15.6">
      <c r="A1" s="9" t="s">
        <v>341</v>
      </c>
      <c r="B1" s="34" t="s">
        <v>313</v>
      </c>
      <c r="D1" s="34" t="s">
        <v>313</v>
      </c>
    </row>
    <row r="4" spans="1:4">
      <c r="B4" s="11"/>
      <c r="C4" s="47"/>
    </row>
    <row r="5" spans="1:4" ht="15.6">
      <c r="A5" s="9"/>
      <c r="B5" s="11"/>
      <c r="C5" s="47"/>
    </row>
    <row r="6" spans="1:4" ht="14.7" customHeight="1">
      <c r="A6" s="65"/>
    </row>
    <row r="7" spans="1:4">
      <c r="A7" s="145" t="s">
        <v>330</v>
      </c>
      <c r="B7" s="8" t="s">
        <v>333</v>
      </c>
      <c r="C7" s="129"/>
      <c r="D7" s="8" t="s">
        <v>308</v>
      </c>
    </row>
    <row r="8" spans="1:4">
      <c r="A8" s="28"/>
      <c r="B8" s="128" t="s">
        <v>65</v>
      </c>
      <c r="C8" s="129"/>
      <c r="D8" s="128" t="s">
        <v>65</v>
      </c>
    </row>
    <row r="9" spans="1:4" ht="14.7" customHeight="1">
      <c r="A9" s="96" t="s">
        <v>66</v>
      </c>
      <c r="B9" s="130">
        <v>24</v>
      </c>
      <c r="C9" s="47"/>
      <c r="D9" s="232">
        <v>23.49</v>
      </c>
    </row>
    <row r="10" spans="1:4" ht="14.7" customHeight="1">
      <c r="A10" s="96" t="s">
        <v>67</v>
      </c>
      <c r="B10" s="130">
        <v>61</v>
      </c>
      <c r="C10" s="73"/>
      <c r="D10" s="232">
        <v>61.54</v>
      </c>
    </row>
    <row r="11" spans="1:4" ht="14.7" customHeight="1">
      <c r="A11" s="16" t="s">
        <v>68</v>
      </c>
      <c r="B11" s="71">
        <v>85</v>
      </c>
      <c r="C11" s="74"/>
      <c r="D11" s="71">
        <v>85.03</v>
      </c>
    </row>
    <row r="12" spans="1:4" ht="14.7" customHeight="1"/>
    <row r="13" spans="1:4" ht="14.7" customHeight="1"/>
    <row r="14" spans="1:4" ht="14.7" customHeight="1">
      <c r="A14" s="28" t="s">
        <v>69</v>
      </c>
    </row>
    <row r="15" spans="1:4" ht="14.7" customHeight="1">
      <c r="D15" s="206"/>
    </row>
    <row r="17" spans="1:4">
      <c r="A17" s="304" t="s">
        <v>332</v>
      </c>
      <c r="B17" s="13" t="s">
        <v>333</v>
      </c>
      <c r="C17" s="41"/>
      <c r="D17" s="13" t="s">
        <v>308</v>
      </c>
    </row>
    <row r="18" spans="1:4">
      <c r="B18" s="128" t="s">
        <v>65</v>
      </c>
      <c r="C18" s="41"/>
      <c r="D18" s="10" t="s">
        <v>65</v>
      </c>
    </row>
    <row r="19" spans="1:4">
      <c r="A19" t="s">
        <v>66</v>
      </c>
      <c r="B19" s="218">
        <v>1</v>
      </c>
      <c r="D19" s="233">
        <v>1</v>
      </c>
    </row>
    <row r="20" spans="1:4">
      <c r="A20" t="s">
        <v>67</v>
      </c>
      <c r="B20" s="218">
        <v>2</v>
      </c>
      <c r="D20" s="233">
        <v>2</v>
      </c>
    </row>
    <row r="21" spans="1:4">
      <c r="A21" s="16" t="s">
        <v>68</v>
      </c>
      <c r="B21" s="71">
        <v>3</v>
      </c>
      <c r="D21" s="71">
        <v>3</v>
      </c>
    </row>
    <row r="22" spans="1:4">
      <c r="A22" s="65" t="s">
        <v>70</v>
      </c>
      <c r="B22" s="219">
        <v>0.33333333333333331</v>
      </c>
      <c r="D22" s="219">
        <v>0.33333333333333331</v>
      </c>
    </row>
    <row r="24" spans="1:4">
      <c r="A24" s="304" t="s">
        <v>331</v>
      </c>
      <c r="B24" s="8" t="s">
        <v>333</v>
      </c>
      <c r="C24" s="124"/>
      <c r="D24" s="8" t="s">
        <v>308</v>
      </c>
    </row>
    <row r="25" spans="1:4">
      <c r="A25" s="65"/>
      <c r="B25" s="6" t="s">
        <v>65</v>
      </c>
      <c r="C25" s="124"/>
      <c r="D25" s="6" t="s">
        <v>65</v>
      </c>
    </row>
    <row r="26" spans="1:4">
      <c r="A26" t="s">
        <v>66</v>
      </c>
      <c r="B26" s="218">
        <v>1</v>
      </c>
      <c r="D26" s="296">
        <v>1</v>
      </c>
    </row>
    <row r="27" spans="1:4">
      <c r="A27" t="s">
        <v>67</v>
      </c>
      <c r="B27" s="218">
        <v>5</v>
      </c>
      <c r="D27" s="296">
        <v>5</v>
      </c>
    </row>
    <row r="28" spans="1:4">
      <c r="A28" s="16" t="s">
        <v>68</v>
      </c>
      <c r="B28" s="71">
        <v>6</v>
      </c>
      <c r="C28" s="74"/>
      <c r="D28" s="71">
        <v>6</v>
      </c>
    </row>
    <row r="29" spans="1:4">
      <c r="A29" s="65" t="s">
        <v>70</v>
      </c>
      <c r="B29" s="219">
        <v>0.16666666666666666</v>
      </c>
      <c r="C29" s="221"/>
      <c r="D29" s="219">
        <v>0.16666666666666666</v>
      </c>
    </row>
    <row r="32" spans="1:4">
      <c r="A32" s="65" t="s">
        <v>71</v>
      </c>
      <c r="B32" s="65"/>
      <c r="C32" s="263"/>
      <c r="D32" s="264"/>
    </row>
    <row r="34" spans="1:5">
      <c r="B34" s="8" t="s">
        <v>333</v>
      </c>
      <c r="C34" s="129"/>
      <c r="D34" s="8" t="s">
        <v>308</v>
      </c>
    </row>
    <row r="35" spans="1:5">
      <c r="B35" s="24" t="s">
        <v>21</v>
      </c>
      <c r="C35" s="47"/>
      <c r="D35" s="24" t="s">
        <v>21</v>
      </c>
    </row>
    <row r="36" spans="1:5">
      <c r="A36" t="s">
        <v>72</v>
      </c>
      <c r="B36" s="17">
        <v>1485486.48</v>
      </c>
      <c r="C36" s="47"/>
      <c r="D36" s="230">
        <v>1487108</v>
      </c>
    </row>
    <row r="37" spans="1:5">
      <c r="A37" t="s">
        <v>73</v>
      </c>
      <c r="B37" s="17">
        <v>54365262</v>
      </c>
      <c r="C37" s="47"/>
      <c r="D37" s="230">
        <v>55364340.020000003</v>
      </c>
    </row>
    <row r="38" spans="1:5">
      <c r="A38" t="s">
        <v>74</v>
      </c>
      <c r="B38" s="12">
        <v>55850748.479999997</v>
      </c>
      <c r="C38" s="47"/>
      <c r="D38" s="12">
        <v>56851448.020000003</v>
      </c>
    </row>
    <row r="39" spans="1:5" s="4" customFormat="1">
      <c r="A39" s="4" t="s">
        <v>75</v>
      </c>
      <c r="B39" s="17">
        <v>24515079.18</v>
      </c>
      <c r="C39" s="47"/>
      <c r="D39" s="230">
        <v>24441571.789999999</v>
      </c>
      <c r="E39" s="132"/>
    </row>
    <row r="40" spans="1:5" s="4" customFormat="1">
      <c r="A40" s="4" t="s">
        <v>76</v>
      </c>
      <c r="B40" s="17">
        <v>6812847.4900000002</v>
      </c>
      <c r="C40" s="47"/>
      <c r="D40" s="230">
        <v>6249782.2300000004</v>
      </c>
      <c r="E40" s="132"/>
    </row>
    <row r="41" spans="1:5" s="4" customFormat="1">
      <c r="B41" s="47"/>
      <c r="C41" s="47"/>
      <c r="D41" s="47"/>
      <c r="E41" s="132"/>
    </row>
    <row r="42" spans="1:5" s="4" customFormat="1">
      <c r="B42" s="47"/>
      <c r="C42" s="47"/>
      <c r="D42" s="47"/>
      <c r="E42" s="132"/>
    </row>
    <row r="43" spans="1:5" s="4" customFormat="1">
      <c r="A43" s="4" t="s">
        <v>458</v>
      </c>
      <c r="B43" s="47"/>
      <c r="C43" s="47"/>
      <c r="D43" s="47"/>
      <c r="E43" s="132"/>
    </row>
    <row r="44" spans="1:5" s="4" customFormat="1">
      <c r="A44" s="4" t="s">
        <v>459</v>
      </c>
      <c r="B44" s="47"/>
      <c r="C44" s="47"/>
      <c r="D44" s="47"/>
      <c r="E44" s="132"/>
    </row>
    <row r="45" spans="1:5" s="4" customFormat="1">
      <c r="B45" s="47"/>
      <c r="C45" s="47"/>
      <c r="D45" s="47"/>
      <c r="E45" s="132"/>
    </row>
    <row r="46" spans="1:5" s="4" customFormat="1">
      <c r="A46" t="s">
        <v>460</v>
      </c>
      <c r="B46" s="47"/>
      <c r="C46" s="47"/>
      <c r="D46" s="47"/>
      <c r="E46" s="132"/>
    </row>
    <row r="47" spans="1:5" s="4" customFormat="1">
      <c r="A47" t="s">
        <v>77</v>
      </c>
      <c r="B47" s="47"/>
      <c r="C47" s="47"/>
      <c r="D47" s="47"/>
      <c r="E47" s="132"/>
    </row>
    <row r="48" spans="1:5" s="4" customFormat="1">
      <c r="B48" s="47"/>
      <c r="C48" s="47"/>
      <c r="D48" s="47"/>
      <c r="E48" s="132"/>
    </row>
    <row r="49" spans="1:5" s="4" customFormat="1">
      <c r="B49" s="47"/>
      <c r="C49" s="47"/>
      <c r="D49" s="47"/>
      <c r="E49" s="132"/>
    </row>
    <row r="50" spans="1:5" s="4" customFormat="1">
      <c r="B50" s="47"/>
      <c r="C50" s="47"/>
      <c r="D50" s="47"/>
      <c r="E50" s="132"/>
    </row>
    <row r="51" spans="1:5" s="4" customFormat="1">
      <c r="A51" s="134" t="s">
        <v>27</v>
      </c>
      <c r="B51" s="136"/>
      <c r="C51" s="136"/>
      <c r="D51" s="137"/>
      <c r="E51" s="132"/>
    </row>
    <row r="52" spans="1:5" s="4" customFormat="1">
      <c r="A52" s="131" t="s">
        <v>78</v>
      </c>
      <c r="B52" s="17">
        <v>82412817.620000005</v>
      </c>
      <c r="C52" s="47"/>
      <c r="D52" s="234">
        <v>83236810.569999993</v>
      </c>
      <c r="E52" s="132"/>
    </row>
    <row r="53" spans="1:5" s="4" customFormat="1">
      <c r="A53" s="131" t="s">
        <v>79</v>
      </c>
      <c r="B53" s="47">
        <v>80365827.659999996</v>
      </c>
      <c r="C53" s="47"/>
      <c r="D53" s="138">
        <v>81293019.810000002</v>
      </c>
      <c r="E53" s="132"/>
    </row>
    <row r="54" spans="1:5" s="4" customFormat="1">
      <c r="A54" s="133" t="s">
        <v>80</v>
      </c>
      <c r="B54" s="18">
        <v>2046990.02</v>
      </c>
      <c r="C54" s="47"/>
      <c r="D54" s="235">
        <v>1943790.76</v>
      </c>
      <c r="E54" s="132"/>
    </row>
    <row r="55" spans="1:5" s="4" customFormat="1">
      <c r="A55" s="135" t="s">
        <v>81</v>
      </c>
      <c r="B55" s="139">
        <v>-5.9999991673976183E-2</v>
      </c>
      <c r="C55" s="139"/>
      <c r="D55" s="140">
        <v>-9.5460563898086548E-9</v>
      </c>
      <c r="E55" s="132"/>
    </row>
    <row r="56" spans="1:5">
      <c r="A56" s="4"/>
      <c r="B56" s="47"/>
      <c r="C56" s="47"/>
      <c r="D56" s="47"/>
    </row>
    <row r="57" spans="1:5">
      <c r="B57" s="108" t="s">
        <v>82</v>
      </c>
      <c r="D57" s="108" t="s">
        <v>82</v>
      </c>
    </row>
    <row r="58" spans="1:5">
      <c r="B58" s="108"/>
      <c r="D58" s="108"/>
    </row>
    <row r="59" spans="1:5">
      <c r="B59" s="109">
        <v>54755.635764705883</v>
      </c>
      <c r="D59" s="109">
        <v>55717.048904308285</v>
      </c>
    </row>
    <row r="62" spans="1:5">
      <c r="A62" s="367" t="s">
        <v>457</v>
      </c>
    </row>
    <row r="63" spans="1:5">
      <c r="A63" s="367" t="s">
        <v>451</v>
      </c>
    </row>
    <row r="64" spans="1:5">
      <c r="A64" s="367" t="s">
        <v>452</v>
      </c>
    </row>
    <row r="65" spans="1:1">
      <c r="A65" s="367" t="s">
        <v>453</v>
      </c>
    </row>
    <row r="66" spans="1:1">
      <c r="A66" s="367" t="s">
        <v>454</v>
      </c>
    </row>
    <row r="67" spans="1:1">
      <c r="A67" s="367" t="s">
        <v>455</v>
      </c>
    </row>
    <row r="68" spans="1:1">
      <c r="A68" s="367" t="s">
        <v>456</v>
      </c>
    </row>
  </sheetData>
  <dataValidations xWindow="679" yWindow="504" count="2">
    <dataValidation allowBlank="1" showInputMessage="1" showErrorMessage="1" prompt="Måste ha två decimaler!" sqref="D9 B10:D10 B9" xr:uid="{4A2B422A-91E6-43B4-AED7-8D0B870C9B6B}"/>
    <dataValidation allowBlank="1" showInputMessage="1" showErrorMessage="1" prompt="Här byts pensionen ut från cellen ovan" sqref="B40 D40" xr:uid="{A1010037-C042-43A4-967A-FB0774D98D59}"/>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3ECD-1454-4949-8566-2B235A4EC886}">
  <dimension ref="A1:D23"/>
  <sheetViews>
    <sheetView showGridLines="0" workbookViewId="0">
      <selection activeCell="C27" sqref="C27"/>
    </sheetView>
  </sheetViews>
  <sheetFormatPr defaultRowHeight="14.4"/>
  <cols>
    <col min="1" max="1" width="61" bestFit="1" customWidth="1"/>
    <col min="2" max="2" width="21.77734375" bestFit="1" customWidth="1"/>
    <col min="4" max="4" width="17.21875" customWidth="1"/>
  </cols>
  <sheetData>
    <row r="1" spans="1:4" ht="15.6">
      <c r="A1" s="9" t="s">
        <v>342</v>
      </c>
      <c r="B1" s="16" t="str">
        <f>+Start!B3</f>
        <v>Omegapoint Malmö AB (Ink E.Syd)</v>
      </c>
    </row>
    <row r="7" spans="1:4">
      <c r="A7" s="7"/>
      <c r="B7" s="8" t="str">
        <f>+Start!H3</f>
        <v>2025-01--2025-12</v>
      </c>
    </row>
    <row r="8" spans="1:4" ht="15.6">
      <c r="A8" s="9" t="s">
        <v>106</v>
      </c>
      <c r="B8" s="6" t="s">
        <v>21</v>
      </c>
    </row>
    <row r="10" spans="1:4">
      <c r="A10" t="s">
        <v>107</v>
      </c>
    </row>
    <row r="11" spans="1:4">
      <c r="A11" t="s">
        <v>108</v>
      </c>
      <c r="B11" s="11"/>
    </row>
    <row r="12" spans="1:4">
      <c r="A12" t="s">
        <v>109</v>
      </c>
      <c r="B12" s="11">
        <f>SUM('Operationell leasing del 1'!V20:V170)</f>
        <v>5646453.0899999989</v>
      </c>
      <c r="D12" s="11"/>
    </row>
    <row r="13" spans="1:4">
      <c r="A13" t="s">
        <v>110</v>
      </c>
      <c r="B13" s="11">
        <f>SUM('Operationell leasing del 1'!W20:W170)</f>
        <v>14285066.270000001</v>
      </c>
      <c r="D13" s="11"/>
    </row>
    <row r="14" spans="1:4">
      <c r="A14" t="s">
        <v>111</v>
      </c>
      <c r="B14" s="95">
        <f>SUM('Operationell leasing del 1'!X20:X170)</f>
        <v>0</v>
      </c>
      <c r="D14" s="11"/>
    </row>
    <row r="15" spans="1:4">
      <c r="B15" s="12">
        <f>SUM(B12:B14)</f>
        <v>19931519.359999999</v>
      </c>
    </row>
    <row r="16" spans="1:4">
      <c r="B16" s="12"/>
    </row>
    <row r="17" spans="1:4">
      <c r="B17" s="12"/>
    </row>
    <row r="18" spans="1:4">
      <c r="B18" s="452" t="str">
        <f>+Start!H3</f>
        <v>2025-01--2025-12</v>
      </c>
      <c r="C18" s="452"/>
      <c r="D18" s="452"/>
    </row>
    <row r="19" spans="1:4">
      <c r="B19" s="12"/>
    </row>
    <row r="20" spans="1:4">
      <c r="B20" s="12" t="s">
        <v>21</v>
      </c>
      <c r="C20" s="16" t="s">
        <v>112</v>
      </c>
    </row>
    <row r="21" spans="1:4">
      <c r="A21" t="s">
        <v>113</v>
      </c>
      <c r="B21" s="94">
        <v>5923999.7800000003</v>
      </c>
      <c r="C21" s="1" t="s">
        <v>484</v>
      </c>
      <c r="D21" s="1"/>
    </row>
    <row r="22" spans="1:4">
      <c r="A22" s="169" t="s">
        <v>306</v>
      </c>
      <c r="B22" s="94">
        <v>4602552.0000000102</v>
      </c>
      <c r="C22" s="1">
        <v>5010</v>
      </c>
      <c r="D22" s="1"/>
    </row>
    <row r="23" spans="1:4">
      <c r="B23" s="93"/>
    </row>
  </sheetData>
  <mergeCells count="1">
    <mergeCell ref="B18:D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767B9-8D58-47D0-845D-2C3933348C54}">
  <dimension ref="A1:X172"/>
  <sheetViews>
    <sheetView showGridLines="0" topLeftCell="A12" zoomScale="90" zoomScaleNormal="90" workbookViewId="0">
      <selection activeCell="F35" sqref="F35"/>
    </sheetView>
  </sheetViews>
  <sheetFormatPr defaultRowHeight="14.4"/>
  <cols>
    <col min="1" max="1" width="11.21875" customWidth="1"/>
    <col min="2" max="2" width="20.44140625" customWidth="1"/>
    <col min="3" max="3" width="16.44140625" bestFit="1" customWidth="1"/>
    <col min="4" max="4" width="80.21875" bestFit="1" customWidth="1"/>
    <col min="5" max="5" width="18.5546875" style="50" bestFit="1" customWidth="1"/>
    <col min="6" max="6" width="11.5546875" bestFit="1" customWidth="1"/>
    <col min="7" max="9" width="11.21875" bestFit="1" customWidth="1"/>
    <col min="10" max="10" width="15.44140625" bestFit="1" customWidth="1"/>
    <col min="11" max="11" width="11.21875" bestFit="1" customWidth="1"/>
    <col min="12" max="12" width="4.21875" customWidth="1"/>
    <col min="13" max="13" width="22.5546875" bestFit="1" customWidth="1"/>
    <col min="15" max="15" width="10.77734375" bestFit="1" customWidth="1"/>
    <col min="16" max="16" width="12.77734375" bestFit="1" customWidth="1"/>
    <col min="17" max="17" width="3.77734375" customWidth="1"/>
    <col min="18" max="18" width="16.44140625" bestFit="1" customWidth="1"/>
    <col min="19" max="19" width="14.21875" bestFit="1" customWidth="1"/>
    <col min="20" max="20" width="14.21875" customWidth="1"/>
    <col min="22" max="22" width="14" style="4" bestFit="1" customWidth="1"/>
    <col min="23" max="23" width="16.21875" style="4" bestFit="1" customWidth="1"/>
    <col min="24" max="24" width="14" style="4" bestFit="1" customWidth="1"/>
  </cols>
  <sheetData>
    <row r="1" spans="1:24">
      <c r="A1" s="69" t="str">
        <f>+Start!B3</f>
        <v>Omegapoint Malmö AB (Ink E.Syd)</v>
      </c>
      <c r="B1" s="69"/>
      <c r="C1" s="299">
        <f>+Start!G3</f>
        <v>46022</v>
      </c>
    </row>
    <row r="3" spans="1:24" s="4" customFormat="1" ht="18">
      <c r="A3" s="5" t="s">
        <v>83</v>
      </c>
      <c r="B3" s="5"/>
      <c r="E3" s="66"/>
    </row>
    <row r="4" spans="1:24">
      <c r="V4" s="4" t="s">
        <v>84</v>
      </c>
      <c r="W4" s="4" t="s">
        <v>254</v>
      </c>
      <c r="X4" s="4" t="s">
        <v>253</v>
      </c>
    </row>
    <row r="5" spans="1:24">
      <c r="A5" s="75"/>
      <c r="B5" s="75"/>
    </row>
    <row r="11" spans="1:24" ht="18">
      <c r="A11" s="5"/>
      <c r="B11" s="5"/>
    </row>
    <row r="12" spans="1:24">
      <c r="T12" s="147"/>
      <c r="V12" s="288">
        <v>46023</v>
      </c>
    </row>
    <row r="13" spans="1:24">
      <c r="V13" s="72"/>
    </row>
    <row r="14" spans="1:24">
      <c r="V14" s="72"/>
    </row>
    <row r="15" spans="1:24">
      <c r="A15" s="50"/>
      <c r="B15" s="50"/>
      <c r="J15" s="14"/>
      <c r="K15" s="79"/>
      <c r="O15" s="11"/>
      <c r="P15" s="11"/>
      <c r="Q15" s="11"/>
      <c r="R15" s="61" t="s">
        <v>85</v>
      </c>
      <c r="S15" s="61" t="s">
        <v>86</v>
      </c>
      <c r="T15" s="61"/>
      <c r="V15" s="53"/>
      <c r="W15" s="53"/>
      <c r="X15" s="53"/>
    </row>
    <row r="16" spans="1:24">
      <c r="A16" s="50"/>
      <c r="B16" s="50"/>
      <c r="J16" s="14"/>
      <c r="K16" s="79"/>
      <c r="O16" s="11"/>
      <c r="P16" s="11"/>
      <c r="Q16" s="11"/>
      <c r="R16" s="61"/>
      <c r="S16" s="61"/>
      <c r="T16" s="61"/>
    </row>
    <row r="17" spans="1:24">
      <c r="A17" s="50"/>
      <c r="B17" s="50"/>
      <c r="J17" s="14"/>
      <c r="K17" s="79"/>
      <c r="O17" s="11"/>
      <c r="P17" s="11"/>
      <c r="Q17" s="11"/>
      <c r="R17" s="61" t="s">
        <v>301</v>
      </c>
      <c r="S17" s="61"/>
      <c r="T17" s="61"/>
    </row>
    <row r="18" spans="1:24">
      <c r="A18" s="80" t="s">
        <v>87</v>
      </c>
      <c r="B18" s="83" t="s">
        <v>284</v>
      </c>
      <c r="C18" s="81" t="s">
        <v>88</v>
      </c>
      <c r="D18" s="82" t="s">
        <v>89</v>
      </c>
      <c r="E18" s="269" t="s">
        <v>90</v>
      </c>
      <c r="F18" s="82" t="s">
        <v>91</v>
      </c>
      <c r="G18" s="82" t="s">
        <v>92</v>
      </c>
      <c r="H18" s="82" t="s">
        <v>93</v>
      </c>
      <c r="I18" s="225"/>
      <c r="J18" s="83" t="s">
        <v>94</v>
      </c>
      <c r="K18" s="81" t="s">
        <v>95</v>
      </c>
      <c r="M18" s="84" t="s">
        <v>96</v>
      </c>
      <c r="N18" s="84" t="s">
        <v>97</v>
      </c>
      <c r="O18" s="85" t="s">
        <v>98</v>
      </c>
      <c r="P18" s="85" t="s">
        <v>99</v>
      </c>
      <c r="Q18" s="11"/>
      <c r="R18" s="211" t="s">
        <v>100</v>
      </c>
      <c r="S18" s="212" t="s">
        <v>100</v>
      </c>
      <c r="T18" s="97"/>
    </row>
    <row r="19" spans="1:24">
      <c r="A19" s="86"/>
      <c r="B19" s="236"/>
      <c r="C19" s="87"/>
      <c r="D19" s="87"/>
      <c r="E19" s="270" t="s">
        <v>101</v>
      </c>
      <c r="F19" s="88" t="s">
        <v>266</v>
      </c>
      <c r="G19" s="88" t="s">
        <v>266</v>
      </c>
      <c r="H19" s="88" t="s">
        <v>92</v>
      </c>
      <c r="I19" s="90"/>
      <c r="J19" s="89"/>
      <c r="K19" s="87" t="s">
        <v>102</v>
      </c>
      <c r="M19" s="449" t="s">
        <v>103</v>
      </c>
      <c r="N19" s="450"/>
      <c r="O19" s="451"/>
      <c r="P19" s="32" t="s">
        <v>104</v>
      </c>
      <c r="Q19" s="11"/>
      <c r="R19" s="213" t="s">
        <v>105</v>
      </c>
      <c r="S19" s="214" t="s">
        <v>105</v>
      </c>
      <c r="T19" s="97"/>
      <c r="V19" s="72"/>
    </row>
    <row r="20" spans="1:24">
      <c r="A20" s="275">
        <v>5615</v>
      </c>
      <c r="B20" s="224" t="s">
        <v>262</v>
      </c>
      <c r="C20" s="224" t="s">
        <v>315</v>
      </c>
      <c r="D20" s="353" t="s">
        <v>437</v>
      </c>
      <c r="E20" s="369">
        <v>30233990</v>
      </c>
      <c r="F20" s="347">
        <v>45658</v>
      </c>
      <c r="G20" s="347">
        <v>46752</v>
      </c>
      <c r="H20" s="335"/>
      <c r="I20" s="91">
        <f t="shared" ref="I20:I84" si="0">IF(ISBLANK(K20),IF(ISBLANK(H20),G20,H20),K20)</f>
        <v>46752</v>
      </c>
      <c r="J20" s="358" t="s">
        <v>251</v>
      </c>
      <c r="K20" s="336"/>
      <c r="L20" s="4"/>
      <c r="M20" s="353" t="s">
        <v>441</v>
      </c>
      <c r="N20" s="362" t="s">
        <v>427</v>
      </c>
      <c r="O20" s="363">
        <f>+P20*50%</f>
        <v>283068.5</v>
      </c>
      <c r="P20" s="364">
        <v>566137</v>
      </c>
      <c r="Q20" s="47"/>
      <c r="R20" s="373">
        <v>10528.88</v>
      </c>
      <c r="S20" s="273"/>
      <c r="T20" s="97"/>
      <c r="V20" s="98">
        <f t="shared" ref="V20:V51" si="1">IF($V$12&gt;I20,0,((IF(DATEDIF($V$12,I20+1,"M")&lt;13,DATEDIF($V$12,I20+1,"M")*R20,12*R20))))</f>
        <v>126346.56</v>
      </c>
      <c r="W20" s="217">
        <f t="shared" ref="W20:W51" si="2">IF(V20=0,0,(IF(DATEDIF($V$12,I20+1,"M")&lt;60,DATEDIF($V$12,I20+1,"M")*R20,60*R20)-V20))</f>
        <v>126346.56</v>
      </c>
      <c r="X20" s="99">
        <f t="shared" ref="X20:X51" si="3">IF(V20=0,0,((IF(DATEDIF($V$12,I20+1,"M")&gt;60,DATEDIF($V$12,I20+1,"M")*R20-V20-W20,0))))</f>
        <v>0</v>
      </c>
    </row>
    <row r="21" spans="1:24">
      <c r="A21" s="275">
        <v>5615</v>
      </c>
      <c r="B21" s="224" t="s">
        <v>262</v>
      </c>
      <c r="C21" s="224" t="s">
        <v>315</v>
      </c>
      <c r="D21" s="353" t="s">
        <v>438</v>
      </c>
      <c r="E21" s="369">
        <v>30232977</v>
      </c>
      <c r="F21" s="347">
        <v>45627</v>
      </c>
      <c r="G21" s="347">
        <v>46721</v>
      </c>
      <c r="H21" s="348"/>
      <c r="I21" s="91">
        <f t="shared" si="0"/>
        <v>46721</v>
      </c>
      <c r="J21" s="358" t="s">
        <v>251</v>
      </c>
      <c r="K21" s="336"/>
      <c r="M21" s="353" t="s">
        <v>442</v>
      </c>
      <c r="N21" s="283" t="s">
        <v>420</v>
      </c>
      <c r="O21" s="363">
        <f>+P21*50%</f>
        <v>200196</v>
      </c>
      <c r="P21" s="364">
        <v>400392</v>
      </c>
      <c r="Q21" s="11"/>
      <c r="R21" s="374">
        <v>7448.63</v>
      </c>
      <c r="S21" s="273"/>
      <c r="T21" s="11"/>
      <c r="V21" s="98">
        <f t="shared" si="1"/>
        <v>89383.56</v>
      </c>
      <c r="W21" s="217">
        <f t="shared" si="2"/>
        <v>81934.929999999993</v>
      </c>
      <c r="X21" s="99">
        <f t="shared" si="3"/>
        <v>0</v>
      </c>
    </row>
    <row r="22" spans="1:24">
      <c r="A22" s="275">
        <v>5615</v>
      </c>
      <c r="B22" s="224" t="s">
        <v>262</v>
      </c>
      <c r="C22" s="224" t="s">
        <v>315</v>
      </c>
      <c r="D22" s="354" t="s">
        <v>414</v>
      </c>
      <c r="E22" s="369">
        <v>30235444</v>
      </c>
      <c r="F22" s="347">
        <v>45566</v>
      </c>
      <c r="G22" s="347">
        <v>46660</v>
      </c>
      <c r="H22" s="348"/>
      <c r="I22" s="91">
        <f t="shared" si="0"/>
        <v>46660</v>
      </c>
      <c r="J22" s="358" t="s">
        <v>251</v>
      </c>
      <c r="K22" s="336"/>
      <c r="L22" s="4"/>
      <c r="M22" s="104" t="s">
        <v>415</v>
      </c>
      <c r="N22" s="283" t="s">
        <v>416</v>
      </c>
      <c r="O22" s="363">
        <f t="shared" ref="O22:O28" si="4">+P22*50%</f>
        <v>311272</v>
      </c>
      <c r="P22" s="364">
        <v>622544</v>
      </c>
      <c r="Q22" s="47"/>
      <c r="R22" s="374">
        <v>11593.13</v>
      </c>
      <c r="S22" s="273"/>
      <c r="T22" s="97"/>
      <c r="V22" s="98">
        <f t="shared" si="1"/>
        <v>139117.56</v>
      </c>
      <c r="W22" s="217">
        <f t="shared" si="2"/>
        <v>104338.16999999998</v>
      </c>
      <c r="X22" s="99">
        <f t="shared" si="3"/>
        <v>0</v>
      </c>
    </row>
    <row r="23" spans="1:24">
      <c r="A23" s="275">
        <v>5615</v>
      </c>
      <c r="B23" s="224" t="s">
        <v>262</v>
      </c>
      <c r="C23" s="224" t="s">
        <v>315</v>
      </c>
      <c r="D23" s="353" t="s">
        <v>417</v>
      </c>
      <c r="E23" s="283">
        <v>30233990</v>
      </c>
      <c r="F23" s="347">
        <v>45505</v>
      </c>
      <c r="G23" s="347">
        <v>46599</v>
      </c>
      <c r="H23" s="335"/>
      <c r="I23" s="91">
        <f t="shared" si="0"/>
        <v>46599</v>
      </c>
      <c r="J23" s="358" t="s">
        <v>251</v>
      </c>
      <c r="K23" s="336"/>
      <c r="L23" s="4"/>
      <c r="M23" s="104" t="s">
        <v>418</v>
      </c>
      <c r="N23" s="286" t="s">
        <v>419</v>
      </c>
      <c r="O23" s="363">
        <f t="shared" si="4"/>
        <v>346179.5</v>
      </c>
      <c r="P23" s="364">
        <v>692359</v>
      </c>
      <c r="Q23" s="47"/>
      <c r="R23" s="374">
        <v>12910.5</v>
      </c>
      <c r="S23" s="273"/>
      <c r="T23" s="97"/>
      <c r="V23" s="98">
        <f t="shared" si="1"/>
        <v>154926</v>
      </c>
      <c r="W23" s="217">
        <f t="shared" si="2"/>
        <v>90373.5</v>
      </c>
      <c r="X23" s="99">
        <f t="shared" si="3"/>
        <v>0</v>
      </c>
    </row>
    <row r="24" spans="1:24">
      <c r="A24" s="275">
        <v>5615</v>
      </c>
      <c r="B24" s="224" t="s">
        <v>262</v>
      </c>
      <c r="C24" s="224" t="s">
        <v>315</v>
      </c>
      <c r="D24" s="353" t="s">
        <v>439</v>
      </c>
      <c r="E24" s="283">
        <v>30241074</v>
      </c>
      <c r="F24" s="347">
        <v>45748</v>
      </c>
      <c r="G24" s="347">
        <v>46843</v>
      </c>
      <c r="H24" s="348"/>
      <c r="I24" s="91">
        <f t="shared" si="0"/>
        <v>46843</v>
      </c>
      <c r="J24" s="358" t="s">
        <v>251</v>
      </c>
      <c r="K24" s="336"/>
      <c r="L24" s="4"/>
      <c r="M24" s="275" t="s">
        <v>443</v>
      </c>
      <c r="N24" s="286" t="s">
        <v>444</v>
      </c>
      <c r="O24" s="363">
        <f t="shared" si="4"/>
        <v>262761</v>
      </c>
      <c r="P24" s="363">
        <v>525522</v>
      </c>
      <c r="Q24" s="47"/>
      <c r="R24" s="375">
        <v>9766.1299999999992</v>
      </c>
      <c r="S24" s="273"/>
      <c r="T24" s="97"/>
      <c r="V24" s="98">
        <f t="shared" si="1"/>
        <v>117193.56</v>
      </c>
      <c r="W24" s="217">
        <f t="shared" si="2"/>
        <v>146491.94999999995</v>
      </c>
      <c r="X24" s="99">
        <f t="shared" si="3"/>
        <v>0</v>
      </c>
    </row>
    <row r="25" spans="1:24">
      <c r="A25" s="275">
        <v>5615</v>
      </c>
      <c r="B25" s="224" t="s">
        <v>262</v>
      </c>
      <c r="C25" s="224" t="s">
        <v>315</v>
      </c>
      <c r="D25" s="354" t="s">
        <v>421</v>
      </c>
      <c r="E25" s="369">
        <v>50555868</v>
      </c>
      <c r="F25" s="347">
        <v>45105</v>
      </c>
      <c r="G25" s="347">
        <v>46203</v>
      </c>
      <c r="H25" s="350"/>
      <c r="I25" s="91">
        <f t="shared" si="0"/>
        <v>46203</v>
      </c>
      <c r="J25" s="358" t="s">
        <v>251</v>
      </c>
      <c r="K25" s="336"/>
      <c r="L25" s="4"/>
      <c r="M25" s="104" t="s">
        <v>422</v>
      </c>
      <c r="N25" s="283" t="s">
        <v>423</v>
      </c>
      <c r="O25" s="363">
        <f t="shared" si="4"/>
        <v>315748</v>
      </c>
      <c r="P25" s="363">
        <v>631496</v>
      </c>
      <c r="Q25" s="47"/>
      <c r="R25" s="375">
        <v>11618.48</v>
      </c>
      <c r="S25" s="273"/>
      <c r="T25" s="97"/>
      <c r="V25" s="98">
        <f t="shared" si="1"/>
        <v>69710.880000000005</v>
      </c>
      <c r="W25" s="217">
        <f t="shared" si="2"/>
        <v>0</v>
      </c>
      <c r="X25" s="99">
        <f t="shared" si="3"/>
        <v>0</v>
      </c>
    </row>
    <row r="26" spans="1:24">
      <c r="A26" s="275">
        <v>5615</v>
      </c>
      <c r="B26" s="224" t="s">
        <v>262</v>
      </c>
      <c r="C26" s="224" t="s">
        <v>315</v>
      </c>
      <c r="D26" s="354" t="s">
        <v>465</v>
      </c>
      <c r="E26" s="369">
        <v>30245415</v>
      </c>
      <c r="F26" s="347">
        <v>45870</v>
      </c>
      <c r="G26" s="347">
        <v>46965</v>
      </c>
      <c r="H26" s="348"/>
      <c r="I26" s="91">
        <f t="shared" si="0"/>
        <v>46965</v>
      </c>
      <c r="J26" s="358" t="s">
        <v>251</v>
      </c>
      <c r="K26" s="336"/>
      <c r="L26" s="4"/>
      <c r="M26" s="370" t="s">
        <v>468</v>
      </c>
      <c r="N26" s="371" t="s">
        <v>445</v>
      </c>
      <c r="O26" s="372">
        <f t="shared" si="4"/>
        <v>226170</v>
      </c>
      <c r="P26" s="372">
        <v>452340</v>
      </c>
      <c r="Q26" s="47"/>
      <c r="R26" s="376">
        <v>8401.5</v>
      </c>
      <c r="S26" s="273"/>
      <c r="T26" s="97"/>
      <c r="V26" s="98">
        <f t="shared" si="1"/>
        <v>100818</v>
      </c>
      <c r="W26" s="217">
        <f t="shared" si="2"/>
        <v>159628.5</v>
      </c>
      <c r="X26" s="99">
        <f t="shared" si="3"/>
        <v>0</v>
      </c>
    </row>
    <row r="27" spans="1:24">
      <c r="A27" s="275">
        <v>5615</v>
      </c>
      <c r="B27" s="224" t="s">
        <v>262</v>
      </c>
      <c r="C27" s="224" t="s">
        <v>315</v>
      </c>
      <c r="D27" s="354" t="s">
        <v>466</v>
      </c>
      <c r="E27" s="369">
        <v>30245566</v>
      </c>
      <c r="F27" s="347">
        <v>45901</v>
      </c>
      <c r="G27" s="347">
        <v>46996</v>
      </c>
      <c r="H27" s="350"/>
      <c r="I27" s="91">
        <f t="shared" si="0"/>
        <v>46996</v>
      </c>
      <c r="J27" s="358" t="s">
        <v>251</v>
      </c>
      <c r="K27" s="336"/>
      <c r="L27" s="4"/>
      <c r="M27" s="275" t="s">
        <v>440</v>
      </c>
      <c r="N27" s="283" t="s">
        <v>446</v>
      </c>
      <c r="O27" s="363">
        <f t="shared" si="4"/>
        <v>231406</v>
      </c>
      <c r="P27" s="363">
        <v>462812</v>
      </c>
      <c r="Q27" s="47"/>
      <c r="R27" s="375">
        <v>8595</v>
      </c>
      <c r="S27" s="273"/>
      <c r="T27" s="47"/>
      <c r="V27" s="98">
        <f t="shared" si="1"/>
        <v>103140</v>
      </c>
      <c r="W27" s="217">
        <f t="shared" si="2"/>
        <v>171900</v>
      </c>
      <c r="X27" s="99">
        <f t="shared" si="3"/>
        <v>0</v>
      </c>
    </row>
    <row r="28" spans="1:24">
      <c r="A28" s="275">
        <v>5615</v>
      </c>
      <c r="B28" s="224" t="s">
        <v>262</v>
      </c>
      <c r="C28" s="224" t="s">
        <v>315</v>
      </c>
      <c r="D28" s="355" t="s">
        <v>467</v>
      </c>
      <c r="E28" s="369">
        <v>30235108</v>
      </c>
      <c r="F28" s="282">
        <v>45748</v>
      </c>
      <c r="G28" s="282">
        <v>46843</v>
      </c>
      <c r="H28" s="341"/>
      <c r="I28" s="91">
        <f t="shared" si="0"/>
        <v>46843</v>
      </c>
      <c r="J28" s="358" t="s">
        <v>251</v>
      </c>
      <c r="K28" s="336"/>
      <c r="M28" s="104" t="s">
        <v>469</v>
      </c>
      <c r="N28" s="283" t="s">
        <v>470</v>
      </c>
      <c r="O28" s="363">
        <f t="shared" si="4"/>
        <v>283526</v>
      </c>
      <c r="P28" s="363">
        <v>567052</v>
      </c>
      <c r="Q28" s="11"/>
      <c r="R28" s="375">
        <v>10537.88</v>
      </c>
      <c r="S28" s="274"/>
      <c r="T28" s="47"/>
      <c r="V28" s="98">
        <f t="shared" si="1"/>
        <v>126454.56</v>
      </c>
      <c r="W28" s="217">
        <f t="shared" si="2"/>
        <v>158068.19999999995</v>
      </c>
      <c r="X28" s="99">
        <f t="shared" si="3"/>
        <v>0</v>
      </c>
    </row>
    <row r="29" spans="1:24">
      <c r="A29" s="275">
        <v>5615</v>
      </c>
      <c r="B29" s="224" t="s">
        <v>262</v>
      </c>
      <c r="C29" s="224" t="s">
        <v>315</v>
      </c>
      <c r="D29" s="349" t="s">
        <v>424</v>
      </c>
      <c r="E29" s="351">
        <v>1906228464</v>
      </c>
      <c r="F29" s="352">
        <v>43739</v>
      </c>
      <c r="G29" s="352">
        <v>44834</v>
      </c>
      <c r="H29" s="333"/>
      <c r="I29" s="91">
        <f t="shared" si="0"/>
        <v>45862</v>
      </c>
      <c r="J29" s="357" t="s">
        <v>252</v>
      </c>
      <c r="K29" s="336">
        <v>45862</v>
      </c>
      <c r="M29" s="334" t="s">
        <v>425</v>
      </c>
      <c r="N29" s="359" t="s">
        <v>426</v>
      </c>
      <c r="O29" s="361">
        <v>143117</v>
      </c>
      <c r="P29" s="360">
        <v>286000</v>
      </c>
      <c r="Q29" s="11"/>
      <c r="R29" s="377">
        <v>4981</v>
      </c>
      <c r="S29" s="274"/>
      <c r="T29" s="47"/>
      <c r="V29" s="98">
        <f t="shared" si="1"/>
        <v>0</v>
      </c>
      <c r="W29" s="217">
        <f t="shared" si="2"/>
        <v>0</v>
      </c>
      <c r="X29" s="99">
        <f t="shared" si="3"/>
        <v>0</v>
      </c>
    </row>
    <row r="30" spans="1:24">
      <c r="A30" s="423">
        <v>5614</v>
      </c>
      <c r="B30" s="378" t="s">
        <v>262</v>
      </c>
      <c r="C30" s="378" t="s">
        <v>316</v>
      </c>
      <c r="D30" s="379" t="s">
        <v>471</v>
      </c>
      <c r="E30" s="424"/>
      <c r="F30" s="432"/>
      <c r="G30" s="432"/>
      <c r="H30" s="426"/>
      <c r="I30" s="91">
        <f t="shared" si="0"/>
        <v>0</v>
      </c>
      <c r="J30" s="427" t="s">
        <v>252</v>
      </c>
      <c r="K30" s="280"/>
      <c r="M30" s="433"/>
      <c r="N30" s="428"/>
      <c r="O30" s="430"/>
      <c r="P30" s="430"/>
      <c r="Q30" s="11"/>
      <c r="R30" s="431"/>
      <c r="S30" s="274"/>
      <c r="T30" s="47"/>
      <c r="V30" s="98">
        <f t="shared" si="1"/>
        <v>0</v>
      </c>
      <c r="W30" s="217">
        <f t="shared" si="2"/>
        <v>0</v>
      </c>
      <c r="X30" s="99">
        <f t="shared" si="3"/>
        <v>0</v>
      </c>
    </row>
    <row r="31" spans="1:24">
      <c r="A31" s="423">
        <v>5614</v>
      </c>
      <c r="B31" s="378" t="s">
        <v>262</v>
      </c>
      <c r="C31" s="378" t="s">
        <v>316</v>
      </c>
      <c r="D31" s="379" t="s">
        <v>472</v>
      </c>
      <c r="E31" s="424"/>
      <c r="F31" s="425"/>
      <c r="G31" s="425"/>
      <c r="H31" s="426"/>
      <c r="I31" s="91">
        <f t="shared" si="0"/>
        <v>0</v>
      </c>
      <c r="J31" s="427" t="s">
        <v>252</v>
      </c>
      <c r="K31" s="281"/>
      <c r="M31" s="379"/>
      <c r="N31" s="428"/>
      <c r="O31" s="429"/>
      <c r="P31" s="430"/>
      <c r="Q31" s="11"/>
      <c r="R31" s="431"/>
      <c r="S31" s="274"/>
      <c r="T31" s="47"/>
      <c r="V31" s="98">
        <f t="shared" si="1"/>
        <v>0</v>
      </c>
      <c r="W31" s="217">
        <f t="shared" si="2"/>
        <v>0</v>
      </c>
      <c r="X31" s="99">
        <f t="shared" si="3"/>
        <v>0</v>
      </c>
    </row>
    <row r="32" spans="1:24">
      <c r="A32" s="412">
        <v>5010</v>
      </c>
      <c r="B32" s="413" t="s">
        <v>263</v>
      </c>
      <c r="C32" s="413" t="s">
        <v>328</v>
      </c>
      <c r="D32" s="414" t="s">
        <v>428</v>
      </c>
      <c r="E32" s="415" t="s">
        <v>429</v>
      </c>
      <c r="F32" s="416">
        <v>45078</v>
      </c>
      <c r="G32" s="416">
        <v>47452</v>
      </c>
      <c r="H32" s="417"/>
      <c r="I32" s="91">
        <f t="shared" si="0"/>
        <v>47452</v>
      </c>
      <c r="J32" s="358" t="s">
        <v>251</v>
      </c>
      <c r="K32" s="281"/>
      <c r="M32" s="418"/>
      <c r="N32" s="419"/>
      <c r="O32" s="420"/>
      <c r="P32" s="420"/>
      <c r="Q32" s="421"/>
      <c r="R32" s="422">
        <v>376721</v>
      </c>
      <c r="S32" s="273"/>
      <c r="V32" s="98">
        <f t="shared" si="1"/>
        <v>4520652</v>
      </c>
      <c r="W32" s="217">
        <f t="shared" si="2"/>
        <v>13185235</v>
      </c>
      <c r="X32" s="99">
        <f t="shared" si="3"/>
        <v>0</v>
      </c>
    </row>
    <row r="33" spans="1:24">
      <c r="A33" s="395">
        <v>5012</v>
      </c>
      <c r="B33" s="396" t="s">
        <v>263</v>
      </c>
      <c r="C33" s="396" t="s">
        <v>328</v>
      </c>
      <c r="D33" s="397" t="s">
        <v>433</v>
      </c>
      <c r="E33" s="398" t="s">
        <v>434</v>
      </c>
      <c r="F33" s="399">
        <v>44743</v>
      </c>
      <c r="G33" s="399">
        <v>45747</v>
      </c>
      <c r="H33" s="400">
        <v>46112</v>
      </c>
      <c r="I33" s="91">
        <f t="shared" si="0"/>
        <v>46112</v>
      </c>
      <c r="J33" s="358" t="s">
        <v>251</v>
      </c>
      <c r="K33" s="346"/>
      <c r="M33" s="395"/>
      <c r="N33" s="403"/>
      <c r="O33" s="404"/>
      <c r="P33" s="404"/>
      <c r="Q33" s="405"/>
      <c r="R33" s="406">
        <v>3949.08</v>
      </c>
      <c r="S33" s="273"/>
      <c r="T33" s="47"/>
      <c r="V33" s="98">
        <f t="shared" si="1"/>
        <v>11847.24</v>
      </c>
      <c r="W33" s="217">
        <f t="shared" si="2"/>
        <v>0</v>
      </c>
      <c r="X33" s="99">
        <f t="shared" si="3"/>
        <v>0</v>
      </c>
    </row>
    <row r="34" spans="1:24">
      <c r="A34" s="395">
        <v>5012</v>
      </c>
      <c r="B34" s="396" t="s">
        <v>263</v>
      </c>
      <c r="C34" s="396" t="s">
        <v>328</v>
      </c>
      <c r="D34" s="401" t="s">
        <v>473</v>
      </c>
      <c r="E34" s="398">
        <v>403877</v>
      </c>
      <c r="F34" s="399">
        <v>45383</v>
      </c>
      <c r="G34" s="399"/>
      <c r="H34" s="400">
        <v>46112</v>
      </c>
      <c r="I34" s="91">
        <f t="shared" si="0"/>
        <v>46112</v>
      </c>
      <c r="J34" s="358" t="s">
        <v>251</v>
      </c>
      <c r="K34" s="284"/>
      <c r="M34" s="366"/>
      <c r="N34" s="407"/>
      <c r="O34" s="408"/>
      <c r="P34" s="409"/>
      <c r="Q34" s="405"/>
      <c r="R34" s="406">
        <v>1360</v>
      </c>
      <c r="S34" s="273"/>
      <c r="T34" s="47"/>
      <c r="V34" s="98">
        <f t="shared" si="1"/>
        <v>4080</v>
      </c>
      <c r="W34" s="217">
        <f t="shared" si="2"/>
        <v>0</v>
      </c>
      <c r="X34" s="99">
        <f t="shared" si="3"/>
        <v>0</v>
      </c>
    </row>
    <row r="35" spans="1:24">
      <c r="A35" s="395">
        <v>5012</v>
      </c>
      <c r="B35" s="396" t="s">
        <v>263</v>
      </c>
      <c r="C35" s="396" t="s">
        <v>328</v>
      </c>
      <c r="D35" s="401" t="s">
        <v>473</v>
      </c>
      <c r="E35" s="398">
        <v>227974</v>
      </c>
      <c r="F35" s="399">
        <v>42948</v>
      </c>
      <c r="G35" s="399">
        <v>45688</v>
      </c>
      <c r="H35" s="400">
        <v>46112</v>
      </c>
      <c r="I35" s="91">
        <f>IF(ISBLANK(K35),IF(ISBLANK(H35),G35,H35),K35)</f>
        <v>46112</v>
      </c>
      <c r="J35" s="358" t="s">
        <v>251</v>
      </c>
      <c r="K35" s="284"/>
      <c r="M35" s="366"/>
      <c r="N35" s="407"/>
      <c r="O35" s="408"/>
      <c r="P35" s="409"/>
      <c r="Q35" s="405"/>
      <c r="R35" s="406">
        <v>1360</v>
      </c>
      <c r="S35" s="273"/>
      <c r="T35" s="47"/>
      <c r="V35" s="98">
        <f t="shared" si="1"/>
        <v>4080</v>
      </c>
      <c r="W35" s="217">
        <f t="shared" si="2"/>
        <v>0</v>
      </c>
      <c r="X35" s="99">
        <f t="shared" si="3"/>
        <v>0</v>
      </c>
    </row>
    <row r="36" spans="1:24">
      <c r="A36" s="395">
        <v>5012</v>
      </c>
      <c r="B36" s="396" t="s">
        <v>263</v>
      </c>
      <c r="C36" s="396" t="s">
        <v>328</v>
      </c>
      <c r="D36" s="401" t="s">
        <v>474</v>
      </c>
      <c r="E36" s="398" t="s">
        <v>479</v>
      </c>
      <c r="F36" s="399">
        <v>45048</v>
      </c>
      <c r="G36" s="399">
        <v>45747</v>
      </c>
      <c r="H36" s="400">
        <v>46112</v>
      </c>
      <c r="I36" s="91">
        <f t="shared" si="0"/>
        <v>46112</v>
      </c>
      <c r="J36" s="358" t="s">
        <v>251</v>
      </c>
      <c r="K36" s="284"/>
      <c r="M36" s="366"/>
      <c r="N36" s="410"/>
      <c r="O36" s="408"/>
      <c r="P36" s="409"/>
      <c r="Q36" s="405"/>
      <c r="R36" s="406">
        <v>1884.95</v>
      </c>
      <c r="S36" s="273"/>
      <c r="T36" s="47"/>
      <c r="V36" s="98">
        <f t="shared" si="1"/>
        <v>5654.85</v>
      </c>
      <c r="W36" s="217">
        <f t="shared" si="2"/>
        <v>0</v>
      </c>
      <c r="X36" s="99">
        <f t="shared" si="3"/>
        <v>0</v>
      </c>
    </row>
    <row r="37" spans="1:24">
      <c r="A37" s="395">
        <v>5012</v>
      </c>
      <c r="B37" s="396" t="s">
        <v>263</v>
      </c>
      <c r="C37" s="396" t="s">
        <v>328</v>
      </c>
      <c r="D37" s="402" t="s">
        <v>475</v>
      </c>
      <c r="E37" s="403" t="s">
        <v>431</v>
      </c>
      <c r="F37" s="399">
        <v>45048</v>
      </c>
      <c r="G37" s="399">
        <v>45747</v>
      </c>
      <c r="H37" s="400">
        <v>46112</v>
      </c>
      <c r="I37" s="91">
        <f t="shared" si="0"/>
        <v>46112</v>
      </c>
      <c r="J37" s="358" t="s">
        <v>252</v>
      </c>
      <c r="K37" s="286"/>
      <c r="M37" s="366"/>
      <c r="N37" s="366"/>
      <c r="O37" s="411"/>
      <c r="P37" s="411"/>
      <c r="Q37" s="405"/>
      <c r="R37" s="406">
        <v>1639.56</v>
      </c>
      <c r="S37" s="273"/>
      <c r="T37" s="47"/>
      <c r="V37" s="98">
        <f t="shared" si="1"/>
        <v>4918.68</v>
      </c>
      <c r="W37" s="217">
        <f t="shared" si="2"/>
        <v>0</v>
      </c>
      <c r="X37" s="99">
        <f t="shared" si="3"/>
        <v>0</v>
      </c>
    </row>
    <row r="38" spans="1:24">
      <c r="A38" s="395">
        <v>5012</v>
      </c>
      <c r="B38" s="396" t="s">
        <v>263</v>
      </c>
      <c r="C38" s="396" t="s">
        <v>328</v>
      </c>
      <c r="D38" s="402" t="s">
        <v>476</v>
      </c>
      <c r="E38" s="403" t="s">
        <v>432</v>
      </c>
      <c r="F38" s="399">
        <v>45048</v>
      </c>
      <c r="G38" s="399">
        <v>45747</v>
      </c>
      <c r="H38" s="400">
        <v>46112</v>
      </c>
      <c r="I38" s="91">
        <f t="shared" si="0"/>
        <v>46112</v>
      </c>
      <c r="J38" s="358" t="s">
        <v>251</v>
      </c>
      <c r="K38" s="336"/>
      <c r="M38" s="366"/>
      <c r="N38" s="366"/>
      <c r="O38" s="411"/>
      <c r="P38" s="411"/>
      <c r="Q38" s="405"/>
      <c r="R38" s="406">
        <v>1639.56</v>
      </c>
      <c r="S38" s="273"/>
      <c r="T38" s="47"/>
      <c r="V38" s="98">
        <f t="shared" si="1"/>
        <v>4918.68</v>
      </c>
      <c r="W38" s="217">
        <f t="shared" si="2"/>
        <v>0</v>
      </c>
      <c r="X38" s="99">
        <f t="shared" si="3"/>
        <v>0</v>
      </c>
    </row>
    <row r="39" spans="1:24">
      <c r="A39" s="395">
        <v>5012</v>
      </c>
      <c r="B39" s="396" t="s">
        <v>263</v>
      </c>
      <c r="C39" s="396" t="s">
        <v>328</v>
      </c>
      <c r="D39" s="402" t="s">
        <v>477</v>
      </c>
      <c r="E39" s="403" t="s">
        <v>430</v>
      </c>
      <c r="F39" s="399">
        <v>45048</v>
      </c>
      <c r="G39" s="399">
        <v>45747</v>
      </c>
      <c r="H39" s="400">
        <v>46112</v>
      </c>
      <c r="I39" s="91">
        <f>IF(ISBLANK(K39),IF(ISBLANK(H39),G39,H39),K39)</f>
        <v>46112</v>
      </c>
      <c r="J39" s="358" t="s">
        <v>251</v>
      </c>
      <c r="K39" s="284"/>
      <c r="M39" s="366"/>
      <c r="N39" s="366"/>
      <c r="O39" s="411"/>
      <c r="P39" s="411"/>
      <c r="Q39" s="405"/>
      <c r="R39" s="406">
        <v>1639.56</v>
      </c>
      <c r="S39" s="273"/>
      <c r="T39" s="47"/>
      <c r="V39" s="98">
        <f t="shared" si="1"/>
        <v>4918.68</v>
      </c>
      <c r="W39" s="217">
        <f t="shared" si="2"/>
        <v>0</v>
      </c>
      <c r="X39" s="99">
        <f t="shared" si="3"/>
        <v>0</v>
      </c>
    </row>
    <row r="40" spans="1:24">
      <c r="A40" s="395">
        <v>5012</v>
      </c>
      <c r="B40" s="396" t="s">
        <v>263</v>
      </c>
      <c r="C40" s="396" t="s">
        <v>328</v>
      </c>
      <c r="D40" s="402" t="s">
        <v>478</v>
      </c>
      <c r="E40" s="403">
        <v>798810</v>
      </c>
      <c r="F40" s="399">
        <v>44652</v>
      </c>
      <c r="G40" s="399">
        <v>45688</v>
      </c>
      <c r="H40" s="400">
        <v>46112</v>
      </c>
      <c r="I40" s="91">
        <f>IF(ISBLANK(K40),IF(ISBLANK(H40),G40,H40),K40)</f>
        <v>46112</v>
      </c>
      <c r="J40" s="358" t="s">
        <v>251</v>
      </c>
      <c r="K40" s="284"/>
      <c r="M40" s="366"/>
      <c r="N40" s="366"/>
      <c r="O40" s="411"/>
      <c r="P40" s="411"/>
      <c r="Q40" s="405"/>
      <c r="R40" s="406">
        <v>1266.4000000000001</v>
      </c>
      <c r="S40" s="273"/>
      <c r="T40" s="47"/>
      <c r="V40" s="98">
        <f t="shared" si="1"/>
        <v>3799.2000000000003</v>
      </c>
      <c r="W40" s="217">
        <f t="shared" si="2"/>
        <v>0</v>
      </c>
      <c r="X40" s="99">
        <f t="shared" si="3"/>
        <v>0</v>
      </c>
    </row>
    <row r="41" spans="1:24">
      <c r="A41" s="380">
        <v>5220</v>
      </c>
      <c r="B41" s="381" t="s">
        <v>263</v>
      </c>
      <c r="C41" s="381" t="s">
        <v>317</v>
      </c>
      <c r="D41" s="382" t="s">
        <v>481</v>
      </c>
      <c r="E41" s="383" t="s">
        <v>480</v>
      </c>
      <c r="F41" s="384">
        <v>45717</v>
      </c>
      <c r="G41" s="384">
        <v>46965</v>
      </c>
      <c r="H41" s="385"/>
      <c r="I41" s="91">
        <f>IF(ISBLANK(K41),IF(ISBLANK(H41),G41,H41),K41)</f>
        <v>46965</v>
      </c>
      <c r="J41" s="387" t="s">
        <v>251</v>
      </c>
      <c r="K41" s="388"/>
      <c r="L41" s="389"/>
      <c r="M41" s="390"/>
      <c r="N41" s="390"/>
      <c r="O41" s="391"/>
      <c r="P41" s="391"/>
      <c r="Q41" s="392"/>
      <c r="R41" s="393">
        <v>3197.34</v>
      </c>
      <c r="S41" s="273"/>
      <c r="T41" s="47"/>
      <c r="V41" s="98">
        <f t="shared" si="1"/>
        <v>38368.080000000002</v>
      </c>
      <c r="W41" s="217">
        <f t="shared" si="2"/>
        <v>60749.460000000006</v>
      </c>
      <c r="X41" s="99">
        <f t="shared" si="3"/>
        <v>0</v>
      </c>
    </row>
    <row r="42" spans="1:24">
      <c r="A42" s="380">
        <v>5220</v>
      </c>
      <c r="B42" s="381" t="s">
        <v>263</v>
      </c>
      <c r="C42" s="381" t="s">
        <v>317</v>
      </c>
      <c r="D42" s="382" t="s">
        <v>483</v>
      </c>
      <c r="E42" s="383" t="s">
        <v>435</v>
      </c>
      <c r="F42" s="384">
        <v>45474</v>
      </c>
      <c r="G42" s="384">
        <v>45565</v>
      </c>
      <c r="H42" s="385">
        <v>46112</v>
      </c>
      <c r="I42" s="91">
        <f t="shared" si="0"/>
        <v>46112</v>
      </c>
      <c r="J42" s="387" t="s">
        <v>251</v>
      </c>
      <c r="K42" s="394"/>
      <c r="L42" s="389"/>
      <c r="M42" s="390"/>
      <c r="N42" s="390"/>
      <c r="O42" s="391"/>
      <c r="P42" s="391"/>
      <c r="Q42" s="392"/>
      <c r="R42" s="393">
        <v>4685</v>
      </c>
      <c r="S42" s="273"/>
      <c r="T42" s="47"/>
      <c r="V42" s="98">
        <f t="shared" si="1"/>
        <v>14055</v>
      </c>
      <c r="W42" s="217">
        <f t="shared" si="2"/>
        <v>0</v>
      </c>
      <c r="X42" s="99">
        <f t="shared" si="3"/>
        <v>0</v>
      </c>
    </row>
    <row r="43" spans="1:24">
      <c r="A43" s="380">
        <v>5220</v>
      </c>
      <c r="B43" s="381" t="s">
        <v>263</v>
      </c>
      <c r="C43" s="381" t="s">
        <v>317</v>
      </c>
      <c r="D43" s="382" t="s">
        <v>482</v>
      </c>
      <c r="E43" s="383" t="s">
        <v>436</v>
      </c>
      <c r="F43" s="386">
        <v>45474</v>
      </c>
      <c r="G43" s="384">
        <v>45565</v>
      </c>
      <c r="H43" s="385">
        <v>46112</v>
      </c>
      <c r="I43" s="91">
        <f t="shared" si="0"/>
        <v>46112</v>
      </c>
      <c r="J43" s="387" t="s">
        <v>251</v>
      </c>
      <c r="K43" s="394"/>
      <c r="L43" s="389"/>
      <c r="M43" s="390"/>
      <c r="N43" s="390"/>
      <c r="O43" s="391"/>
      <c r="P43" s="391"/>
      <c r="Q43" s="392"/>
      <c r="R43" s="393">
        <v>690</v>
      </c>
      <c r="S43" s="273"/>
      <c r="T43" s="47"/>
      <c r="V43" s="98">
        <f t="shared" si="1"/>
        <v>2070</v>
      </c>
      <c r="W43" s="217">
        <f t="shared" si="2"/>
        <v>0</v>
      </c>
      <c r="X43" s="99">
        <f t="shared" si="3"/>
        <v>0</v>
      </c>
    </row>
    <row r="44" spans="1:24">
      <c r="A44" s="275" t="s">
        <v>318</v>
      </c>
      <c r="B44" s="224" t="s">
        <v>4</v>
      </c>
      <c r="C44" s="224" t="s">
        <v>4</v>
      </c>
      <c r="D44" s="31"/>
      <c r="E44" s="286"/>
      <c r="F44" s="338"/>
      <c r="G44" s="338"/>
      <c r="H44" s="342"/>
      <c r="I44" s="91">
        <f t="shared" si="0"/>
        <v>0</v>
      </c>
      <c r="J44" s="358" t="s">
        <v>251</v>
      </c>
      <c r="K44" s="284"/>
      <c r="M44" s="104"/>
      <c r="N44" s="104"/>
      <c r="O44" s="272"/>
      <c r="P44" s="272"/>
      <c r="Q44" s="11"/>
      <c r="R44" s="373"/>
      <c r="S44" s="273"/>
      <c r="T44" s="47"/>
      <c r="V44" s="98">
        <f t="shared" si="1"/>
        <v>0</v>
      </c>
      <c r="W44" s="217">
        <f t="shared" si="2"/>
        <v>0</v>
      </c>
      <c r="X44" s="99">
        <f t="shared" si="3"/>
        <v>0</v>
      </c>
    </row>
    <row r="45" spans="1:24">
      <c r="A45" s="275" t="s">
        <v>318</v>
      </c>
      <c r="B45" s="224" t="s">
        <v>4</v>
      </c>
      <c r="C45" s="224" t="s">
        <v>4</v>
      </c>
      <c r="D45" s="31"/>
      <c r="E45" s="286"/>
      <c r="F45" s="338"/>
      <c r="G45" s="338"/>
      <c r="H45" s="342"/>
      <c r="I45" s="91">
        <f t="shared" si="0"/>
        <v>0</v>
      </c>
      <c r="J45" s="358" t="s">
        <v>251</v>
      </c>
      <c r="K45" s="284"/>
      <c r="M45" s="104"/>
      <c r="N45" s="104"/>
      <c r="O45" s="272"/>
      <c r="P45" s="272"/>
      <c r="Q45" s="11"/>
      <c r="R45" s="373"/>
      <c r="S45" s="273"/>
      <c r="T45" s="47"/>
      <c r="V45" s="98">
        <f t="shared" si="1"/>
        <v>0</v>
      </c>
      <c r="W45" s="217">
        <f t="shared" si="2"/>
        <v>0</v>
      </c>
      <c r="X45" s="99">
        <f t="shared" si="3"/>
        <v>0</v>
      </c>
    </row>
    <row r="46" spans="1:24">
      <c r="A46" s="275" t="s">
        <v>318</v>
      </c>
      <c r="B46" s="224" t="s">
        <v>4</v>
      </c>
      <c r="C46" s="224" t="s">
        <v>4</v>
      </c>
      <c r="D46" s="31"/>
      <c r="E46" s="286"/>
      <c r="F46" s="338"/>
      <c r="G46" s="338"/>
      <c r="H46" s="344"/>
      <c r="I46" s="91">
        <f t="shared" si="0"/>
        <v>0</v>
      </c>
      <c r="J46" s="358" t="s">
        <v>251</v>
      </c>
      <c r="K46" s="284"/>
      <c r="M46" s="104"/>
      <c r="N46" s="104"/>
      <c r="O46" s="272"/>
      <c r="P46" s="272"/>
      <c r="Q46" s="11"/>
      <c r="R46" s="373"/>
      <c r="S46" s="273"/>
      <c r="T46" s="47"/>
      <c r="V46" s="98">
        <f t="shared" si="1"/>
        <v>0</v>
      </c>
      <c r="W46" s="217">
        <f t="shared" si="2"/>
        <v>0</v>
      </c>
      <c r="X46" s="99">
        <f t="shared" si="3"/>
        <v>0</v>
      </c>
    </row>
    <row r="47" spans="1:24">
      <c r="A47" s="275" t="s">
        <v>318</v>
      </c>
      <c r="B47" s="224" t="s">
        <v>4</v>
      </c>
      <c r="C47" s="224" t="s">
        <v>4</v>
      </c>
      <c r="D47" s="31"/>
      <c r="E47" s="286"/>
      <c r="F47" s="338"/>
      <c r="G47" s="338"/>
      <c r="H47" s="344"/>
      <c r="I47" s="91">
        <f t="shared" si="0"/>
        <v>0</v>
      </c>
      <c r="J47" s="358" t="s">
        <v>251</v>
      </c>
      <c r="K47" s="284"/>
      <c r="M47" s="104"/>
      <c r="N47" s="104"/>
      <c r="O47" s="272"/>
      <c r="P47" s="272"/>
      <c r="Q47" s="11"/>
      <c r="R47" s="272"/>
      <c r="S47" s="273"/>
      <c r="T47" s="47"/>
      <c r="V47" s="98">
        <f t="shared" si="1"/>
        <v>0</v>
      </c>
      <c r="W47" s="217">
        <f t="shared" si="2"/>
        <v>0</v>
      </c>
      <c r="X47" s="99">
        <f t="shared" si="3"/>
        <v>0</v>
      </c>
    </row>
    <row r="48" spans="1:24">
      <c r="A48" s="275" t="s">
        <v>318</v>
      </c>
      <c r="B48" s="224" t="s">
        <v>4</v>
      </c>
      <c r="C48" s="224" t="s">
        <v>4</v>
      </c>
      <c r="D48" s="31"/>
      <c r="E48" s="286"/>
      <c r="F48" s="338"/>
      <c r="G48" s="337"/>
      <c r="H48" s="342"/>
      <c r="I48" s="91">
        <f t="shared" si="0"/>
        <v>0</v>
      </c>
      <c r="J48" s="358" t="s">
        <v>251</v>
      </c>
      <c r="K48" s="284"/>
      <c r="M48" s="104"/>
      <c r="N48" s="104"/>
      <c r="O48" s="272"/>
      <c r="P48" s="272"/>
      <c r="Q48" s="11"/>
      <c r="R48" s="368"/>
      <c r="S48" s="273"/>
      <c r="T48" s="47"/>
      <c r="V48" s="98">
        <f t="shared" si="1"/>
        <v>0</v>
      </c>
      <c r="W48" s="217">
        <f t="shared" si="2"/>
        <v>0</v>
      </c>
      <c r="X48" s="99">
        <f t="shared" si="3"/>
        <v>0</v>
      </c>
    </row>
    <row r="49" spans="1:24">
      <c r="A49" s="275" t="s">
        <v>318</v>
      </c>
      <c r="B49" s="224" t="s">
        <v>4</v>
      </c>
      <c r="C49" s="224" t="s">
        <v>4</v>
      </c>
      <c r="D49" s="31"/>
      <c r="E49" s="286"/>
      <c r="F49" s="338"/>
      <c r="G49" s="338"/>
      <c r="H49" s="342"/>
      <c r="I49" s="91">
        <f t="shared" si="0"/>
        <v>0</v>
      </c>
      <c r="J49" s="358" t="s">
        <v>251</v>
      </c>
      <c r="K49" s="284"/>
      <c r="M49" s="104"/>
      <c r="N49" s="104"/>
      <c r="O49" s="272"/>
      <c r="P49" s="272"/>
      <c r="Q49" s="11"/>
      <c r="R49" s="272"/>
      <c r="S49" s="273"/>
      <c r="T49" s="47"/>
      <c r="V49" s="98">
        <f t="shared" si="1"/>
        <v>0</v>
      </c>
      <c r="W49" s="217">
        <f t="shared" si="2"/>
        <v>0</v>
      </c>
      <c r="X49" s="99">
        <f t="shared" si="3"/>
        <v>0</v>
      </c>
    </row>
    <row r="50" spans="1:24">
      <c r="A50" s="275" t="s">
        <v>318</v>
      </c>
      <c r="B50" s="224" t="s">
        <v>4</v>
      </c>
      <c r="C50" s="224" t="s">
        <v>4</v>
      </c>
      <c r="D50" s="31"/>
      <c r="E50" s="286"/>
      <c r="F50" s="338"/>
      <c r="G50" s="338"/>
      <c r="H50" s="345"/>
      <c r="I50" s="91">
        <f t="shared" si="0"/>
        <v>0</v>
      </c>
      <c r="J50" s="358" t="s">
        <v>251</v>
      </c>
      <c r="K50" s="284"/>
      <c r="M50" s="104"/>
      <c r="N50" s="104"/>
      <c r="O50" s="272"/>
      <c r="P50" s="272"/>
      <c r="Q50" s="11"/>
      <c r="R50" s="272"/>
      <c r="S50" s="273"/>
      <c r="T50" s="47"/>
      <c r="V50" s="98">
        <f t="shared" si="1"/>
        <v>0</v>
      </c>
      <c r="W50" s="217">
        <f t="shared" si="2"/>
        <v>0</v>
      </c>
      <c r="X50" s="99">
        <f t="shared" si="3"/>
        <v>0</v>
      </c>
    </row>
    <row r="51" spans="1:24">
      <c r="A51" s="275" t="s">
        <v>318</v>
      </c>
      <c r="B51" s="224" t="s">
        <v>4</v>
      </c>
      <c r="C51" s="224" t="s">
        <v>4</v>
      </c>
      <c r="D51" s="31"/>
      <c r="E51" s="286"/>
      <c r="F51" s="338"/>
      <c r="G51" s="338"/>
      <c r="H51" s="345"/>
      <c r="I51" s="91">
        <f t="shared" si="0"/>
        <v>0</v>
      </c>
      <c r="J51" s="358" t="s">
        <v>251</v>
      </c>
      <c r="K51" s="284"/>
      <c r="M51" s="104"/>
      <c r="N51" s="104"/>
      <c r="O51" s="272"/>
      <c r="P51" s="104"/>
      <c r="Q51" s="11"/>
      <c r="R51" s="272"/>
      <c r="S51" s="273"/>
      <c r="T51" s="47"/>
      <c r="V51" s="98">
        <f t="shared" si="1"/>
        <v>0</v>
      </c>
      <c r="W51" s="217">
        <f t="shared" si="2"/>
        <v>0</v>
      </c>
      <c r="X51" s="99">
        <f t="shared" si="3"/>
        <v>0</v>
      </c>
    </row>
    <row r="52" spans="1:24">
      <c r="A52" s="275" t="s">
        <v>318</v>
      </c>
      <c r="B52" s="224" t="s">
        <v>4</v>
      </c>
      <c r="C52" s="224" t="s">
        <v>4</v>
      </c>
      <c r="D52" s="31"/>
      <c r="E52" s="286"/>
      <c r="F52" s="338"/>
      <c r="G52" s="338"/>
      <c r="H52" s="345"/>
      <c r="I52" s="91">
        <f t="shared" si="0"/>
        <v>0</v>
      </c>
      <c r="J52" s="358" t="s">
        <v>251</v>
      </c>
      <c r="K52" s="284"/>
      <c r="M52" s="104"/>
      <c r="N52" s="104"/>
      <c r="O52" s="272"/>
      <c r="P52" s="104"/>
      <c r="Q52" s="11"/>
      <c r="R52" s="272"/>
      <c r="S52" s="273"/>
      <c r="T52" s="47"/>
      <c r="V52" s="98">
        <f t="shared" ref="V52:V83" si="5">IF($V$12&gt;I52,0,((IF(DATEDIF($V$12,I52+1,"M")&lt;13,DATEDIF($V$12,I52+1,"M")*R52,12*R52))))</f>
        <v>0</v>
      </c>
      <c r="W52" s="217">
        <f t="shared" ref="W52:W83" si="6">IF(V52=0,0,(IF(DATEDIF($V$12,I52+1,"M")&lt;60,DATEDIF($V$12,I52+1,"M")*R52,60*R52)-V52))</f>
        <v>0</v>
      </c>
      <c r="X52" s="99">
        <f t="shared" ref="X52:X83" si="7">IF(V52=0,0,((IF(DATEDIF($V$12,I52+1,"M")&gt;60,DATEDIF($V$12,I52+1,"M")*R52-V52-W52,0))))</f>
        <v>0</v>
      </c>
    </row>
    <row r="53" spans="1:24">
      <c r="A53" s="275" t="s">
        <v>318</v>
      </c>
      <c r="B53" s="224" t="s">
        <v>4</v>
      </c>
      <c r="C53" s="224" t="s">
        <v>4</v>
      </c>
      <c r="D53" s="31"/>
      <c r="E53" s="286"/>
      <c r="F53" s="338"/>
      <c r="G53" s="338"/>
      <c r="H53" s="345"/>
      <c r="I53" s="91">
        <f t="shared" si="0"/>
        <v>0</v>
      </c>
      <c r="J53" s="358" t="s">
        <v>251</v>
      </c>
      <c r="K53" s="284"/>
      <c r="M53" s="104"/>
      <c r="N53" s="272"/>
      <c r="O53" s="272"/>
      <c r="P53" s="272"/>
      <c r="Q53" s="11"/>
      <c r="R53" s="272"/>
      <c r="S53" s="273"/>
      <c r="T53" s="47"/>
      <c r="V53" s="98">
        <f t="shared" si="5"/>
        <v>0</v>
      </c>
      <c r="W53" s="217">
        <f t="shared" si="6"/>
        <v>0</v>
      </c>
      <c r="X53" s="99">
        <f t="shared" si="7"/>
        <v>0</v>
      </c>
    </row>
    <row r="54" spans="1:24">
      <c r="A54" s="275" t="s">
        <v>318</v>
      </c>
      <c r="B54" s="224" t="s">
        <v>4</v>
      </c>
      <c r="C54" s="224" t="s">
        <v>4</v>
      </c>
      <c r="D54" s="31"/>
      <c r="E54" s="275"/>
      <c r="F54" s="338"/>
      <c r="G54" s="338"/>
      <c r="H54" s="345"/>
      <c r="I54" s="91">
        <f t="shared" si="0"/>
        <v>0</v>
      </c>
      <c r="J54" s="358" t="s">
        <v>251</v>
      </c>
      <c r="K54" s="284"/>
      <c r="M54" s="104"/>
      <c r="N54" s="104"/>
      <c r="O54" s="272"/>
      <c r="P54" s="104"/>
      <c r="Q54" s="11"/>
      <c r="R54" s="272"/>
      <c r="S54" s="273"/>
      <c r="T54" s="47"/>
      <c r="V54" s="98">
        <f t="shared" si="5"/>
        <v>0</v>
      </c>
      <c r="W54" s="217">
        <f t="shared" si="6"/>
        <v>0</v>
      </c>
      <c r="X54" s="99">
        <f t="shared" si="7"/>
        <v>0</v>
      </c>
    </row>
    <row r="55" spans="1:24">
      <c r="A55" s="275" t="s">
        <v>318</v>
      </c>
      <c r="B55" s="224" t="s">
        <v>4</v>
      </c>
      <c r="C55" s="224" t="s">
        <v>4</v>
      </c>
      <c r="D55" s="339"/>
      <c r="E55" s="351"/>
      <c r="F55" s="336"/>
      <c r="G55" s="336"/>
      <c r="H55" s="365"/>
      <c r="I55" s="91">
        <f t="shared" si="0"/>
        <v>0</v>
      </c>
      <c r="J55" s="358" t="s">
        <v>251</v>
      </c>
      <c r="K55" s="336"/>
      <c r="M55" s="104"/>
      <c r="N55" s="272"/>
      <c r="O55" s="272"/>
      <c r="P55" s="272"/>
      <c r="Q55" s="11"/>
      <c r="R55" s="272"/>
      <c r="S55" s="273"/>
      <c r="T55" s="47"/>
      <c r="V55" s="98">
        <f t="shared" si="5"/>
        <v>0</v>
      </c>
      <c r="W55" s="217">
        <f t="shared" si="6"/>
        <v>0</v>
      </c>
      <c r="X55" s="99">
        <f t="shared" si="7"/>
        <v>0</v>
      </c>
    </row>
    <row r="56" spans="1:24">
      <c r="A56" s="275" t="s">
        <v>318</v>
      </c>
      <c r="B56" s="224" t="s">
        <v>4</v>
      </c>
      <c r="C56" s="224" t="s">
        <v>4</v>
      </c>
      <c r="D56" s="339"/>
      <c r="E56" s="351"/>
      <c r="F56" s="336"/>
      <c r="G56" s="336"/>
      <c r="H56" s="340"/>
      <c r="I56" s="91">
        <f t="shared" si="0"/>
        <v>0</v>
      </c>
      <c r="J56" s="358" t="s">
        <v>251</v>
      </c>
      <c r="K56" s="336"/>
      <c r="M56" s="104"/>
      <c r="N56" s="272"/>
      <c r="O56" s="272"/>
      <c r="P56" s="272"/>
      <c r="Q56" s="11"/>
      <c r="R56" s="272"/>
      <c r="S56" s="273"/>
      <c r="T56" s="47"/>
      <c r="V56" s="98">
        <f t="shared" si="5"/>
        <v>0</v>
      </c>
      <c r="W56" s="217">
        <f t="shared" si="6"/>
        <v>0</v>
      </c>
      <c r="X56" s="99">
        <f t="shared" si="7"/>
        <v>0</v>
      </c>
    </row>
    <row r="57" spans="1:24">
      <c r="A57" s="275" t="s">
        <v>318</v>
      </c>
      <c r="B57" s="224" t="s">
        <v>4</v>
      </c>
      <c r="C57" s="224" t="s">
        <v>4</v>
      </c>
      <c r="D57" s="31"/>
      <c r="E57" s="356"/>
      <c r="F57" s="346"/>
      <c r="G57" s="346"/>
      <c r="H57" s="337"/>
      <c r="I57" s="91">
        <f t="shared" si="0"/>
        <v>0</v>
      </c>
      <c r="J57" s="358" t="s">
        <v>251</v>
      </c>
      <c r="K57" s="284"/>
      <c r="M57" s="104"/>
      <c r="N57" s="104"/>
      <c r="O57" s="272"/>
      <c r="P57" s="272"/>
      <c r="Q57" s="11"/>
      <c r="R57" s="272"/>
      <c r="S57" s="273"/>
      <c r="T57" s="47"/>
      <c r="V57" s="98">
        <f t="shared" si="5"/>
        <v>0</v>
      </c>
      <c r="W57" s="217">
        <f t="shared" si="6"/>
        <v>0</v>
      </c>
      <c r="X57" s="99">
        <f t="shared" si="7"/>
        <v>0</v>
      </c>
    </row>
    <row r="58" spans="1:24">
      <c r="A58" s="275" t="s">
        <v>318</v>
      </c>
      <c r="B58" s="224" t="s">
        <v>4</v>
      </c>
      <c r="C58" s="224" t="s">
        <v>4</v>
      </c>
      <c r="D58" s="277"/>
      <c r="E58" s="356"/>
      <c r="F58" s="346"/>
      <c r="G58" s="346"/>
      <c r="H58" s="337"/>
      <c r="I58" s="91">
        <f t="shared" si="0"/>
        <v>0</v>
      </c>
      <c r="J58" s="358" t="s">
        <v>251</v>
      </c>
      <c r="K58" s="346"/>
      <c r="M58" s="104"/>
      <c r="N58" s="104"/>
      <c r="O58" s="272"/>
      <c r="P58" s="272"/>
      <c r="Q58" s="11"/>
      <c r="R58" s="272"/>
      <c r="S58" s="273"/>
      <c r="T58" s="47"/>
      <c r="V58" s="98">
        <f t="shared" si="5"/>
        <v>0</v>
      </c>
      <c r="W58" s="217">
        <f t="shared" si="6"/>
        <v>0</v>
      </c>
      <c r="X58" s="99">
        <f t="shared" si="7"/>
        <v>0</v>
      </c>
    </row>
    <row r="59" spans="1:24">
      <c r="A59" s="275" t="s">
        <v>318</v>
      </c>
      <c r="B59" s="224" t="s">
        <v>4</v>
      </c>
      <c r="C59" s="224" t="s">
        <v>4</v>
      </c>
      <c r="D59" s="277"/>
      <c r="E59" s="356"/>
      <c r="F59" s="346"/>
      <c r="G59" s="346"/>
      <c r="H59" s="284"/>
      <c r="I59" s="91">
        <f t="shared" si="0"/>
        <v>0</v>
      </c>
      <c r="J59" s="358" t="s">
        <v>251</v>
      </c>
      <c r="K59" s="284"/>
      <c r="M59" s="104"/>
      <c r="N59" s="104"/>
      <c r="O59" s="272"/>
      <c r="P59" s="272"/>
      <c r="Q59" s="11"/>
      <c r="R59" s="272"/>
      <c r="S59" s="273"/>
      <c r="T59" s="47"/>
      <c r="V59" s="98">
        <f t="shared" si="5"/>
        <v>0</v>
      </c>
      <c r="W59" s="217">
        <f t="shared" si="6"/>
        <v>0</v>
      </c>
      <c r="X59" s="99">
        <f t="shared" si="7"/>
        <v>0</v>
      </c>
    </row>
    <row r="60" spans="1:24">
      <c r="A60" s="275" t="s">
        <v>318</v>
      </c>
      <c r="B60" s="224" t="s">
        <v>4</v>
      </c>
      <c r="C60" s="224" t="s">
        <v>4</v>
      </c>
      <c r="D60" s="31"/>
      <c r="E60" s="275"/>
      <c r="F60" s="276"/>
      <c r="G60" s="276"/>
      <c r="H60" s="276"/>
      <c r="I60" s="91">
        <f t="shared" si="0"/>
        <v>0</v>
      </c>
      <c r="J60" s="224" t="s">
        <v>4</v>
      </c>
      <c r="K60" s="283"/>
      <c r="M60" s="104"/>
      <c r="N60" s="104"/>
      <c r="O60" s="272"/>
      <c r="P60" s="272"/>
      <c r="Q60" s="11"/>
      <c r="R60" s="272"/>
      <c r="S60" s="273"/>
      <c r="T60" s="47"/>
      <c r="V60" s="98">
        <f t="shared" si="5"/>
        <v>0</v>
      </c>
      <c r="W60" s="217">
        <f t="shared" si="6"/>
        <v>0</v>
      </c>
      <c r="X60" s="99">
        <f t="shared" si="7"/>
        <v>0</v>
      </c>
    </row>
    <row r="61" spans="1:24">
      <c r="A61" s="275" t="s">
        <v>318</v>
      </c>
      <c r="B61" s="224" t="s">
        <v>4</v>
      </c>
      <c r="C61" s="224" t="s">
        <v>4</v>
      </c>
      <c r="D61" s="31"/>
      <c r="E61" s="275"/>
      <c r="F61" s="276"/>
      <c r="G61" s="276"/>
      <c r="H61" s="276"/>
      <c r="I61" s="91">
        <f t="shared" si="0"/>
        <v>0</v>
      </c>
      <c r="J61" s="224" t="s">
        <v>4</v>
      </c>
      <c r="K61" s="283"/>
      <c r="M61" s="104"/>
      <c r="N61" s="104"/>
      <c r="O61" s="272"/>
      <c r="P61" s="272"/>
      <c r="Q61" s="11"/>
      <c r="R61" s="272"/>
      <c r="S61" s="273"/>
      <c r="T61" s="47"/>
      <c r="V61" s="98">
        <f t="shared" si="5"/>
        <v>0</v>
      </c>
      <c r="W61" s="217">
        <f t="shared" si="6"/>
        <v>0</v>
      </c>
      <c r="X61" s="99">
        <f t="shared" si="7"/>
        <v>0</v>
      </c>
    </row>
    <row r="62" spans="1:24">
      <c r="A62" s="275" t="s">
        <v>318</v>
      </c>
      <c r="B62" s="224" t="s">
        <v>4</v>
      </c>
      <c r="C62" s="224" t="s">
        <v>4</v>
      </c>
      <c r="D62" s="31"/>
      <c r="E62" s="275"/>
      <c r="F62" s="278"/>
      <c r="G62" s="278"/>
      <c r="H62" s="104"/>
      <c r="I62" s="91">
        <f t="shared" si="0"/>
        <v>0</v>
      </c>
      <c r="J62" s="224" t="s">
        <v>4</v>
      </c>
      <c r="K62" s="283"/>
      <c r="M62" s="104"/>
      <c r="N62" s="104"/>
      <c r="O62" s="285"/>
      <c r="P62" s="272"/>
      <c r="Q62" s="11"/>
      <c r="R62" s="272"/>
      <c r="S62" s="273"/>
      <c r="T62" s="47"/>
      <c r="V62" s="98">
        <f t="shared" si="5"/>
        <v>0</v>
      </c>
      <c r="W62" s="217">
        <f t="shared" si="6"/>
        <v>0</v>
      </c>
      <c r="X62" s="99">
        <f t="shared" si="7"/>
        <v>0</v>
      </c>
    </row>
    <row r="63" spans="1:24">
      <c r="A63" s="275" t="s">
        <v>318</v>
      </c>
      <c r="B63" s="224" t="s">
        <v>4</v>
      </c>
      <c r="C63" s="224" t="s">
        <v>4</v>
      </c>
      <c r="D63" s="31"/>
      <c r="E63" s="275"/>
      <c r="F63" s="278"/>
      <c r="G63" s="278"/>
      <c r="H63" s="104"/>
      <c r="I63" s="91">
        <f t="shared" si="0"/>
        <v>0</v>
      </c>
      <c r="J63" s="224" t="s">
        <v>4</v>
      </c>
      <c r="K63" s="283"/>
      <c r="M63" s="104"/>
      <c r="N63" s="104"/>
      <c r="O63" s="285"/>
      <c r="P63" s="272"/>
      <c r="Q63" s="11"/>
      <c r="R63" s="272"/>
      <c r="S63" s="273"/>
      <c r="T63" s="47"/>
      <c r="V63" s="98">
        <f t="shared" si="5"/>
        <v>0</v>
      </c>
      <c r="W63" s="217">
        <f t="shared" si="6"/>
        <v>0</v>
      </c>
      <c r="X63" s="99">
        <f t="shared" si="7"/>
        <v>0</v>
      </c>
    </row>
    <row r="64" spans="1:24">
      <c r="A64" s="275" t="s">
        <v>318</v>
      </c>
      <c r="B64" s="224" t="s">
        <v>4</v>
      </c>
      <c r="C64" s="224" t="s">
        <v>4</v>
      </c>
      <c r="D64" s="31"/>
      <c r="E64" s="275"/>
      <c r="F64" s="278"/>
      <c r="G64" s="278"/>
      <c r="H64" s="104"/>
      <c r="I64" s="91">
        <f t="shared" si="0"/>
        <v>0</v>
      </c>
      <c r="J64" s="224" t="s">
        <v>4</v>
      </c>
      <c r="K64" s="283"/>
      <c r="M64" s="104"/>
      <c r="N64" s="104"/>
      <c r="O64" s="285"/>
      <c r="P64" s="272"/>
      <c r="Q64" s="11"/>
      <c r="R64" s="272"/>
      <c r="S64" s="273"/>
      <c r="T64" s="47"/>
      <c r="V64" s="98">
        <f t="shared" si="5"/>
        <v>0</v>
      </c>
      <c r="W64" s="217">
        <f t="shared" si="6"/>
        <v>0</v>
      </c>
      <c r="X64" s="99">
        <f t="shared" si="7"/>
        <v>0</v>
      </c>
    </row>
    <row r="65" spans="1:24">
      <c r="A65" s="275" t="s">
        <v>318</v>
      </c>
      <c r="B65" s="224" t="s">
        <v>4</v>
      </c>
      <c r="C65" s="224" t="s">
        <v>4</v>
      </c>
      <c r="D65" s="31"/>
      <c r="E65" s="275"/>
      <c r="F65" s="278"/>
      <c r="G65" s="278"/>
      <c r="H65" s="104"/>
      <c r="I65" s="91">
        <f t="shared" si="0"/>
        <v>0</v>
      </c>
      <c r="J65" s="224" t="s">
        <v>4</v>
      </c>
      <c r="K65" s="283"/>
      <c r="M65" s="104"/>
      <c r="N65" s="104"/>
      <c r="O65" s="285"/>
      <c r="P65" s="272"/>
      <c r="Q65" s="11"/>
      <c r="R65" s="272"/>
      <c r="S65" s="273"/>
      <c r="T65" s="47"/>
      <c r="V65" s="98">
        <f t="shared" si="5"/>
        <v>0</v>
      </c>
      <c r="W65" s="217">
        <f t="shared" si="6"/>
        <v>0</v>
      </c>
      <c r="X65" s="99">
        <f t="shared" si="7"/>
        <v>0</v>
      </c>
    </row>
    <row r="66" spans="1:24">
      <c r="A66" s="275" t="s">
        <v>318</v>
      </c>
      <c r="B66" s="224" t="s">
        <v>4</v>
      </c>
      <c r="C66" s="224" t="s">
        <v>4</v>
      </c>
      <c r="D66" s="31"/>
      <c r="E66" s="275"/>
      <c r="F66" s="278"/>
      <c r="G66" s="278"/>
      <c r="H66" s="104"/>
      <c r="I66" s="91">
        <f t="shared" si="0"/>
        <v>0</v>
      </c>
      <c r="J66" s="224" t="s">
        <v>4</v>
      </c>
      <c r="K66" s="283"/>
      <c r="M66" s="104"/>
      <c r="N66" s="104"/>
      <c r="O66" s="285"/>
      <c r="P66" s="272"/>
      <c r="Q66" s="11"/>
      <c r="R66" s="272"/>
      <c r="S66" s="273"/>
      <c r="T66" s="47"/>
      <c r="V66" s="98">
        <f t="shared" si="5"/>
        <v>0</v>
      </c>
      <c r="W66" s="217">
        <f t="shared" si="6"/>
        <v>0</v>
      </c>
      <c r="X66" s="99">
        <f t="shared" si="7"/>
        <v>0</v>
      </c>
    </row>
    <row r="67" spans="1:24">
      <c r="A67" s="275" t="s">
        <v>318</v>
      </c>
      <c r="B67" s="224" t="s">
        <v>4</v>
      </c>
      <c r="C67" s="224" t="s">
        <v>4</v>
      </c>
      <c r="D67" s="31"/>
      <c r="E67" s="275"/>
      <c r="F67" s="278"/>
      <c r="G67" s="278"/>
      <c r="H67" s="104"/>
      <c r="I67" s="91">
        <f t="shared" si="0"/>
        <v>0</v>
      </c>
      <c r="J67" s="224" t="s">
        <v>4</v>
      </c>
      <c r="K67" s="283"/>
      <c r="M67" s="104"/>
      <c r="N67" s="104"/>
      <c r="O67" s="285"/>
      <c r="P67" s="272"/>
      <c r="Q67" s="11"/>
      <c r="R67" s="272"/>
      <c r="S67" s="273"/>
      <c r="T67" s="47"/>
      <c r="V67" s="98">
        <f t="shared" si="5"/>
        <v>0</v>
      </c>
      <c r="W67" s="217">
        <f t="shared" si="6"/>
        <v>0</v>
      </c>
      <c r="X67" s="99">
        <f t="shared" si="7"/>
        <v>0</v>
      </c>
    </row>
    <row r="68" spans="1:24">
      <c r="A68" s="275" t="s">
        <v>318</v>
      </c>
      <c r="B68" s="224" t="s">
        <v>4</v>
      </c>
      <c r="C68" s="224" t="s">
        <v>4</v>
      </c>
      <c r="D68" s="31"/>
      <c r="E68" s="275"/>
      <c r="F68" s="278"/>
      <c r="G68" s="278"/>
      <c r="H68" s="104"/>
      <c r="I68" s="91">
        <f t="shared" si="0"/>
        <v>0</v>
      </c>
      <c r="J68" s="224" t="s">
        <v>4</v>
      </c>
      <c r="K68" s="283"/>
      <c r="M68" s="104"/>
      <c r="N68" s="104"/>
      <c r="O68" s="272"/>
      <c r="P68" s="272"/>
      <c r="Q68" s="11"/>
      <c r="R68" s="272"/>
      <c r="S68" s="271"/>
      <c r="T68" s="47"/>
      <c r="V68" s="98">
        <f t="shared" si="5"/>
        <v>0</v>
      </c>
      <c r="W68" s="217">
        <f t="shared" si="6"/>
        <v>0</v>
      </c>
      <c r="X68" s="99">
        <f t="shared" si="7"/>
        <v>0</v>
      </c>
    </row>
    <row r="69" spans="1:24">
      <c r="A69" s="275" t="s">
        <v>318</v>
      </c>
      <c r="B69" s="224" t="s">
        <v>4</v>
      </c>
      <c r="C69" s="224" t="s">
        <v>4</v>
      </c>
      <c r="D69" s="31"/>
      <c r="E69" s="275"/>
      <c r="F69" s="279"/>
      <c r="G69" s="279"/>
      <c r="H69" s="31"/>
      <c r="I69" s="91">
        <f t="shared" si="0"/>
        <v>0</v>
      </c>
      <c r="J69" s="224" t="s">
        <v>4</v>
      </c>
      <c r="K69" s="283"/>
      <c r="M69" s="286"/>
      <c r="N69" s="286"/>
      <c r="O69" s="286"/>
      <c r="P69" s="286"/>
      <c r="Q69" s="11"/>
      <c r="R69" s="215"/>
      <c r="S69" s="216"/>
      <c r="T69" s="47"/>
      <c r="V69" s="98">
        <f t="shared" si="5"/>
        <v>0</v>
      </c>
      <c r="W69" s="217">
        <f t="shared" si="6"/>
        <v>0</v>
      </c>
      <c r="X69" s="99">
        <f t="shared" si="7"/>
        <v>0</v>
      </c>
    </row>
    <row r="70" spans="1:24">
      <c r="A70" s="275" t="s">
        <v>318</v>
      </c>
      <c r="B70" s="224" t="s">
        <v>4</v>
      </c>
      <c r="C70" s="224" t="s">
        <v>4</v>
      </c>
      <c r="D70" s="31"/>
      <c r="E70" s="275"/>
      <c r="F70" s="279"/>
      <c r="G70" s="279"/>
      <c r="H70" s="31"/>
      <c r="I70" s="91">
        <f t="shared" si="0"/>
        <v>0</v>
      </c>
      <c r="J70" s="224" t="s">
        <v>4</v>
      </c>
      <c r="K70" s="283"/>
      <c r="M70" s="286"/>
      <c r="N70" s="286"/>
      <c r="O70" s="286"/>
      <c r="P70" s="286"/>
      <c r="Q70" s="11"/>
      <c r="R70" s="215"/>
      <c r="S70" s="216"/>
      <c r="T70" s="47"/>
      <c r="V70" s="98">
        <f t="shared" si="5"/>
        <v>0</v>
      </c>
      <c r="W70" s="217">
        <f t="shared" si="6"/>
        <v>0</v>
      </c>
      <c r="X70" s="99">
        <f t="shared" si="7"/>
        <v>0</v>
      </c>
    </row>
    <row r="71" spans="1:24">
      <c r="A71" s="275" t="s">
        <v>318</v>
      </c>
      <c r="B71" s="224" t="s">
        <v>4</v>
      </c>
      <c r="C71" s="224" t="s">
        <v>4</v>
      </c>
      <c r="D71" s="31"/>
      <c r="E71" s="275"/>
      <c r="F71" s="279"/>
      <c r="G71" s="279"/>
      <c r="H71" s="31"/>
      <c r="I71" s="91">
        <f t="shared" si="0"/>
        <v>0</v>
      </c>
      <c r="J71" s="224" t="s">
        <v>4</v>
      </c>
      <c r="K71" s="283"/>
      <c r="M71" s="286"/>
      <c r="N71" s="286"/>
      <c r="O71" s="286"/>
      <c r="P71" s="286"/>
      <c r="Q71" s="11"/>
      <c r="R71" s="215"/>
      <c r="S71" s="216"/>
      <c r="T71" s="47"/>
      <c r="V71" s="98">
        <f t="shared" si="5"/>
        <v>0</v>
      </c>
      <c r="W71" s="217">
        <f t="shared" si="6"/>
        <v>0</v>
      </c>
      <c r="X71" s="99">
        <f t="shared" si="7"/>
        <v>0</v>
      </c>
    </row>
    <row r="72" spans="1:24">
      <c r="A72" s="275" t="s">
        <v>318</v>
      </c>
      <c r="B72" s="224" t="s">
        <v>4</v>
      </c>
      <c r="C72" s="224" t="s">
        <v>4</v>
      </c>
      <c r="D72" s="31"/>
      <c r="E72" s="275"/>
      <c r="F72" s="279"/>
      <c r="G72" s="279"/>
      <c r="H72" s="31"/>
      <c r="I72" s="91">
        <f t="shared" si="0"/>
        <v>0</v>
      </c>
      <c r="J72" s="224" t="s">
        <v>4</v>
      </c>
      <c r="K72" s="283"/>
      <c r="M72" s="286"/>
      <c r="N72" s="286"/>
      <c r="O72" s="286"/>
      <c r="P72" s="286"/>
      <c r="Q72" s="11"/>
      <c r="R72" s="215"/>
      <c r="S72" s="216"/>
      <c r="T72" s="47"/>
      <c r="V72" s="98">
        <f t="shared" si="5"/>
        <v>0</v>
      </c>
      <c r="W72" s="217">
        <f t="shared" si="6"/>
        <v>0</v>
      </c>
      <c r="X72" s="99">
        <f t="shared" si="7"/>
        <v>0</v>
      </c>
    </row>
    <row r="73" spans="1:24">
      <c r="A73" s="275" t="s">
        <v>318</v>
      </c>
      <c r="B73" s="224" t="s">
        <v>4</v>
      </c>
      <c r="C73" s="224" t="s">
        <v>4</v>
      </c>
      <c r="D73" s="31"/>
      <c r="E73" s="275"/>
      <c r="F73" s="279"/>
      <c r="G73" s="279"/>
      <c r="H73" s="31"/>
      <c r="I73" s="91">
        <f t="shared" si="0"/>
        <v>0</v>
      </c>
      <c r="J73" s="224" t="s">
        <v>4</v>
      </c>
      <c r="K73" s="283"/>
      <c r="M73" s="286"/>
      <c r="N73" s="286"/>
      <c r="O73" s="286"/>
      <c r="P73" s="286"/>
      <c r="Q73" s="11"/>
      <c r="R73" s="215"/>
      <c r="S73" s="216"/>
      <c r="T73" s="47"/>
      <c r="V73" s="98">
        <f t="shared" si="5"/>
        <v>0</v>
      </c>
      <c r="W73" s="217">
        <f t="shared" si="6"/>
        <v>0</v>
      </c>
      <c r="X73" s="99">
        <f t="shared" si="7"/>
        <v>0</v>
      </c>
    </row>
    <row r="74" spans="1:24">
      <c r="A74" s="275" t="s">
        <v>318</v>
      </c>
      <c r="B74" s="224" t="s">
        <v>4</v>
      </c>
      <c r="C74" s="224" t="s">
        <v>4</v>
      </c>
      <c r="D74" s="31"/>
      <c r="E74" s="275"/>
      <c r="F74" s="31"/>
      <c r="G74" s="31"/>
      <c r="H74" s="31"/>
      <c r="I74" s="91">
        <f t="shared" si="0"/>
        <v>0</v>
      </c>
      <c r="J74" s="224" t="s">
        <v>4</v>
      </c>
      <c r="K74" s="283"/>
      <c r="M74" s="286"/>
      <c r="N74" s="286"/>
      <c r="O74" s="286"/>
      <c r="P74" s="286"/>
      <c r="Q74" s="11"/>
      <c r="R74" s="92"/>
      <c r="S74" s="68"/>
      <c r="T74" s="47"/>
      <c r="V74" s="98">
        <f t="shared" si="5"/>
        <v>0</v>
      </c>
      <c r="W74" s="217">
        <f t="shared" si="6"/>
        <v>0</v>
      </c>
      <c r="X74" s="99">
        <f t="shared" si="7"/>
        <v>0</v>
      </c>
    </row>
    <row r="75" spans="1:24">
      <c r="A75" s="275" t="s">
        <v>318</v>
      </c>
      <c r="B75" s="224" t="s">
        <v>4</v>
      </c>
      <c r="C75" s="224" t="s">
        <v>4</v>
      </c>
      <c r="D75" s="31"/>
      <c r="E75" s="275"/>
      <c r="F75" s="31"/>
      <c r="G75" s="31"/>
      <c r="H75" s="31"/>
      <c r="I75" s="91">
        <f t="shared" si="0"/>
        <v>0</v>
      </c>
      <c r="J75" s="224" t="s">
        <v>4</v>
      </c>
      <c r="K75" s="283"/>
      <c r="M75" s="286"/>
      <c r="N75" s="286"/>
      <c r="O75" s="286"/>
      <c r="P75" s="286"/>
      <c r="Q75" s="11"/>
      <c r="R75" s="92"/>
      <c r="S75" s="68"/>
      <c r="T75" s="47"/>
      <c r="V75" s="98">
        <f t="shared" si="5"/>
        <v>0</v>
      </c>
      <c r="W75" s="217">
        <f t="shared" si="6"/>
        <v>0</v>
      </c>
      <c r="X75" s="99">
        <f t="shared" si="7"/>
        <v>0</v>
      </c>
    </row>
    <row r="76" spans="1:24">
      <c r="A76" s="275" t="s">
        <v>318</v>
      </c>
      <c r="B76" s="224" t="s">
        <v>4</v>
      </c>
      <c r="C76" s="224" t="s">
        <v>4</v>
      </c>
      <c r="D76" s="31"/>
      <c r="E76" s="275"/>
      <c r="F76" s="31"/>
      <c r="G76" s="31"/>
      <c r="H76" s="31"/>
      <c r="I76" s="91">
        <f t="shared" si="0"/>
        <v>0</v>
      </c>
      <c r="J76" s="224" t="s">
        <v>4</v>
      </c>
      <c r="K76" s="283"/>
      <c r="M76" s="286"/>
      <c r="N76" s="286"/>
      <c r="O76" s="286"/>
      <c r="P76" s="286"/>
      <c r="Q76" s="11"/>
      <c r="R76" s="92"/>
      <c r="S76" s="68"/>
      <c r="T76" s="47"/>
      <c r="V76" s="98">
        <f t="shared" si="5"/>
        <v>0</v>
      </c>
      <c r="W76" s="217">
        <f t="shared" si="6"/>
        <v>0</v>
      </c>
      <c r="X76" s="99">
        <f t="shared" si="7"/>
        <v>0</v>
      </c>
    </row>
    <row r="77" spans="1:24">
      <c r="A77" s="275" t="s">
        <v>318</v>
      </c>
      <c r="B77" s="224" t="s">
        <v>4</v>
      </c>
      <c r="C77" s="224" t="s">
        <v>4</v>
      </c>
      <c r="D77" s="31"/>
      <c r="E77" s="275"/>
      <c r="F77" s="31"/>
      <c r="G77" s="31"/>
      <c r="H77" s="31"/>
      <c r="I77" s="91">
        <f t="shared" si="0"/>
        <v>0</v>
      </c>
      <c r="J77" s="224" t="s">
        <v>4</v>
      </c>
      <c r="K77" s="283"/>
      <c r="M77" s="286"/>
      <c r="N77" s="286"/>
      <c r="O77" s="286"/>
      <c r="P77" s="286"/>
      <c r="Q77" s="11"/>
      <c r="R77" s="92"/>
      <c r="S77" s="68"/>
      <c r="T77" s="47"/>
      <c r="V77" s="98">
        <f t="shared" si="5"/>
        <v>0</v>
      </c>
      <c r="W77" s="217">
        <f t="shared" si="6"/>
        <v>0</v>
      </c>
      <c r="X77" s="99">
        <f t="shared" si="7"/>
        <v>0</v>
      </c>
    </row>
    <row r="78" spans="1:24">
      <c r="A78" s="275" t="s">
        <v>318</v>
      </c>
      <c r="B78" s="224" t="s">
        <v>4</v>
      </c>
      <c r="C78" s="224" t="s">
        <v>4</v>
      </c>
      <c r="D78" s="31"/>
      <c r="E78" s="275"/>
      <c r="F78" s="31"/>
      <c r="G78" s="31"/>
      <c r="H78" s="31"/>
      <c r="I78" s="91">
        <f t="shared" si="0"/>
        <v>0</v>
      </c>
      <c r="J78" s="224" t="s">
        <v>4</v>
      </c>
      <c r="K78" s="283"/>
      <c r="M78" s="286"/>
      <c r="N78" s="286"/>
      <c r="O78" s="286"/>
      <c r="P78" s="286"/>
      <c r="Q78" s="11"/>
      <c r="R78" s="92"/>
      <c r="S78" s="68"/>
      <c r="T78" s="47"/>
      <c r="V78" s="98">
        <f t="shared" si="5"/>
        <v>0</v>
      </c>
      <c r="W78" s="217">
        <f t="shared" si="6"/>
        <v>0</v>
      </c>
      <c r="X78" s="99">
        <f t="shared" si="7"/>
        <v>0</v>
      </c>
    </row>
    <row r="79" spans="1:24">
      <c r="A79" s="275" t="s">
        <v>318</v>
      </c>
      <c r="B79" s="224" t="s">
        <v>4</v>
      </c>
      <c r="C79" s="224" t="s">
        <v>4</v>
      </c>
      <c r="D79" s="31"/>
      <c r="E79" s="275"/>
      <c r="F79" s="31"/>
      <c r="G79" s="31"/>
      <c r="H79" s="31"/>
      <c r="I79" s="91">
        <f t="shared" si="0"/>
        <v>0</v>
      </c>
      <c r="J79" s="224" t="s">
        <v>4</v>
      </c>
      <c r="K79" s="283"/>
      <c r="M79" s="286"/>
      <c r="N79" s="286"/>
      <c r="O79" s="286"/>
      <c r="P79" s="286"/>
      <c r="Q79" s="11"/>
      <c r="R79" s="92"/>
      <c r="S79" s="68"/>
      <c r="T79" s="47"/>
      <c r="V79" s="98">
        <f t="shared" si="5"/>
        <v>0</v>
      </c>
      <c r="W79" s="217">
        <f t="shared" si="6"/>
        <v>0</v>
      </c>
      <c r="X79" s="99">
        <f t="shared" si="7"/>
        <v>0</v>
      </c>
    </row>
    <row r="80" spans="1:24">
      <c r="A80" s="275" t="s">
        <v>318</v>
      </c>
      <c r="B80" s="224" t="s">
        <v>4</v>
      </c>
      <c r="C80" s="224" t="s">
        <v>4</v>
      </c>
      <c r="D80" s="31"/>
      <c r="E80" s="275"/>
      <c r="F80" s="31"/>
      <c r="G80" s="31"/>
      <c r="H80" s="31"/>
      <c r="I80" s="91">
        <f t="shared" si="0"/>
        <v>0</v>
      </c>
      <c r="J80" s="224" t="s">
        <v>4</v>
      </c>
      <c r="K80" s="283"/>
      <c r="M80" s="286"/>
      <c r="N80" s="286"/>
      <c r="O80" s="286"/>
      <c r="P80" s="286"/>
      <c r="Q80" s="11"/>
      <c r="R80" s="92"/>
      <c r="S80" s="68"/>
      <c r="T80" s="47"/>
      <c r="V80" s="98">
        <f t="shared" si="5"/>
        <v>0</v>
      </c>
      <c r="W80" s="217">
        <f t="shared" si="6"/>
        <v>0</v>
      </c>
      <c r="X80" s="99">
        <f t="shared" si="7"/>
        <v>0</v>
      </c>
    </row>
    <row r="81" spans="1:24">
      <c r="A81" s="275" t="s">
        <v>318</v>
      </c>
      <c r="B81" s="224" t="s">
        <v>4</v>
      </c>
      <c r="C81" s="224" t="s">
        <v>4</v>
      </c>
      <c r="D81" s="31"/>
      <c r="E81" s="275"/>
      <c r="F81" s="31"/>
      <c r="G81" s="31"/>
      <c r="H81" s="31"/>
      <c r="I81" s="91">
        <f t="shared" si="0"/>
        <v>0</v>
      </c>
      <c r="J81" s="224" t="s">
        <v>4</v>
      </c>
      <c r="K81" s="283"/>
      <c r="M81" s="286"/>
      <c r="N81" s="286"/>
      <c r="O81" s="286"/>
      <c r="P81" s="286"/>
      <c r="Q81" s="11"/>
      <c r="R81" s="92"/>
      <c r="S81" s="68"/>
      <c r="T81" s="47"/>
      <c r="V81" s="98">
        <f t="shared" si="5"/>
        <v>0</v>
      </c>
      <c r="W81" s="217">
        <f t="shared" si="6"/>
        <v>0</v>
      </c>
      <c r="X81" s="99">
        <f t="shared" si="7"/>
        <v>0</v>
      </c>
    </row>
    <row r="82" spans="1:24">
      <c r="A82" s="275" t="s">
        <v>318</v>
      </c>
      <c r="B82" s="224" t="s">
        <v>4</v>
      </c>
      <c r="C82" s="224" t="s">
        <v>4</v>
      </c>
      <c r="D82" s="31"/>
      <c r="E82" s="275"/>
      <c r="F82" s="31"/>
      <c r="G82" s="31"/>
      <c r="H82" s="31"/>
      <c r="I82" s="91">
        <f t="shared" si="0"/>
        <v>0</v>
      </c>
      <c r="J82" s="224" t="s">
        <v>4</v>
      </c>
      <c r="K82" s="283"/>
      <c r="M82" s="286"/>
      <c r="N82" s="286"/>
      <c r="O82" s="286"/>
      <c r="P82" s="286"/>
      <c r="Q82" s="11"/>
      <c r="R82" s="92"/>
      <c r="S82" s="68"/>
      <c r="T82" s="47"/>
      <c r="V82" s="98">
        <f t="shared" si="5"/>
        <v>0</v>
      </c>
      <c r="W82" s="217">
        <f t="shared" si="6"/>
        <v>0</v>
      </c>
      <c r="X82" s="99">
        <f t="shared" si="7"/>
        <v>0</v>
      </c>
    </row>
    <row r="83" spans="1:24">
      <c r="A83" s="275" t="s">
        <v>318</v>
      </c>
      <c r="B83" s="224" t="s">
        <v>4</v>
      </c>
      <c r="C83" s="224" t="s">
        <v>4</v>
      </c>
      <c r="D83" s="31"/>
      <c r="E83" s="275"/>
      <c r="F83" s="31"/>
      <c r="G83" s="31"/>
      <c r="H83" s="31"/>
      <c r="I83" s="91">
        <f t="shared" si="0"/>
        <v>0</v>
      </c>
      <c r="J83" s="224" t="s">
        <v>4</v>
      </c>
      <c r="K83" s="283"/>
      <c r="M83" s="286"/>
      <c r="N83" s="286"/>
      <c r="O83" s="286"/>
      <c r="P83" s="286"/>
      <c r="Q83" s="11"/>
      <c r="R83" s="92"/>
      <c r="S83" s="68"/>
      <c r="T83" s="47"/>
      <c r="V83" s="98">
        <f t="shared" si="5"/>
        <v>0</v>
      </c>
      <c r="W83" s="217">
        <f t="shared" si="6"/>
        <v>0</v>
      </c>
      <c r="X83" s="99">
        <f t="shared" si="7"/>
        <v>0</v>
      </c>
    </row>
    <row r="84" spans="1:24">
      <c r="A84" s="275" t="s">
        <v>318</v>
      </c>
      <c r="B84" s="224" t="s">
        <v>4</v>
      </c>
      <c r="C84" s="224" t="s">
        <v>4</v>
      </c>
      <c r="D84" s="31"/>
      <c r="E84" s="275"/>
      <c r="F84" s="31"/>
      <c r="G84" s="31"/>
      <c r="H84" s="31"/>
      <c r="I84" s="91">
        <f t="shared" si="0"/>
        <v>0</v>
      </c>
      <c r="J84" s="224" t="s">
        <v>4</v>
      </c>
      <c r="K84" s="283"/>
      <c r="M84" s="286"/>
      <c r="N84" s="286"/>
      <c r="O84" s="286"/>
      <c r="P84" s="286"/>
      <c r="Q84" s="11"/>
      <c r="R84" s="92"/>
      <c r="S84" s="68"/>
      <c r="T84" s="47"/>
      <c r="V84" s="98">
        <f t="shared" ref="V84:V115" si="8">IF($V$12&gt;I84,0,((IF(DATEDIF($V$12,I84+1,"M")&lt;13,DATEDIF($V$12,I84+1,"M")*R84,12*R84))))</f>
        <v>0</v>
      </c>
      <c r="W84" s="217">
        <f t="shared" ref="W84:W115" si="9">IF(V84=0,0,(IF(DATEDIF($V$12,I84+1,"M")&lt;60,DATEDIF($V$12,I84+1,"M")*R84,60*R84)-V84))</f>
        <v>0</v>
      </c>
      <c r="X84" s="99">
        <f t="shared" ref="X84:X115" si="10">IF(V84=0,0,((IF(DATEDIF($V$12,I84+1,"M")&gt;60,DATEDIF($V$12,I84+1,"M")*R84-V84-W84,0))))</f>
        <v>0</v>
      </c>
    </row>
    <row r="85" spans="1:24">
      <c r="A85" s="275" t="s">
        <v>318</v>
      </c>
      <c r="B85" s="224" t="s">
        <v>4</v>
      </c>
      <c r="C85" s="224" t="s">
        <v>4</v>
      </c>
      <c r="D85" s="31"/>
      <c r="E85" s="275"/>
      <c r="F85" s="31"/>
      <c r="G85" s="31"/>
      <c r="H85" s="31"/>
      <c r="I85" s="91">
        <f t="shared" ref="I85:I148" si="11">IF(ISBLANK(K85),IF(ISBLANK(H85),G85,H85),K85)</f>
        <v>0</v>
      </c>
      <c r="J85" s="224" t="s">
        <v>4</v>
      </c>
      <c r="K85" s="283"/>
      <c r="M85" s="286"/>
      <c r="N85" s="286"/>
      <c r="O85" s="286"/>
      <c r="P85" s="286"/>
      <c r="Q85" s="11"/>
      <c r="R85" s="92"/>
      <c r="S85" s="68"/>
      <c r="T85" s="47"/>
      <c r="V85" s="98">
        <f t="shared" si="8"/>
        <v>0</v>
      </c>
      <c r="W85" s="217">
        <f t="shared" si="9"/>
        <v>0</v>
      </c>
      <c r="X85" s="99">
        <f t="shared" si="10"/>
        <v>0</v>
      </c>
    </row>
    <row r="86" spans="1:24">
      <c r="A86" s="275" t="s">
        <v>318</v>
      </c>
      <c r="B86" s="224" t="s">
        <v>4</v>
      </c>
      <c r="C86" s="224" t="s">
        <v>4</v>
      </c>
      <c r="D86" s="31"/>
      <c r="E86" s="275"/>
      <c r="F86" s="31"/>
      <c r="G86" s="31"/>
      <c r="H86" s="31"/>
      <c r="I86" s="91">
        <f t="shared" si="11"/>
        <v>0</v>
      </c>
      <c r="J86" s="224" t="s">
        <v>4</v>
      </c>
      <c r="K86" s="283"/>
      <c r="M86" s="286"/>
      <c r="N86" s="286"/>
      <c r="O86" s="286"/>
      <c r="P86" s="286"/>
      <c r="Q86" s="11"/>
      <c r="R86" s="92"/>
      <c r="S86" s="68"/>
      <c r="T86" s="47"/>
      <c r="V86" s="98">
        <f t="shared" si="8"/>
        <v>0</v>
      </c>
      <c r="W86" s="217">
        <f t="shared" si="9"/>
        <v>0</v>
      </c>
      <c r="X86" s="99">
        <f t="shared" si="10"/>
        <v>0</v>
      </c>
    </row>
    <row r="87" spans="1:24">
      <c r="A87" s="275" t="s">
        <v>318</v>
      </c>
      <c r="B87" s="224" t="s">
        <v>4</v>
      </c>
      <c r="C87" s="224" t="s">
        <v>4</v>
      </c>
      <c r="D87" s="31"/>
      <c r="E87" s="275"/>
      <c r="F87" s="31"/>
      <c r="G87" s="31"/>
      <c r="H87" s="31"/>
      <c r="I87" s="91">
        <f t="shared" si="11"/>
        <v>0</v>
      </c>
      <c r="J87" s="224" t="s">
        <v>4</v>
      </c>
      <c r="K87" s="283"/>
      <c r="M87" s="286"/>
      <c r="N87" s="286"/>
      <c r="O87" s="286"/>
      <c r="P87" s="286"/>
      <c r="Q87" s="11"/>
      <c r="R87" s="92"/>
      <c r="S87" s="68"/>
      <c r="T87" s="47"/>
      <c r="V87" s="98">
        <f t="shared" si="8"/>
        <v>0</v>
      </c>
      <c r="W87" s="217">
        <f t="shared" si="9"/>
        <v>0</v>
      </c>
      <c r="X87" s="99">
        <f t="shared" si="10"/>
        <v>0</v>
      </c>
    </row>
    <row r="88" spans="1:24">
      <c r="A88" s="275" t="s">
        <v>318</v>
      </c>
      <c r="B88" s="224" t="s">
        <v>4</v>
      </c>
      <c r="C88" s="224" t="s">
        <v>4</v>
      </c>
      <c r="D88" s="31"/>
      <c r="E88" s="275"/>
      <c r="F88" s="31"/>
      <c r="G88" s="31"/>
      <c r="H88" s="31"/>
      <c r="I88" s="91">
        <f t="shared" si="11"/>
        <v>0</v>
      </c>
      <c r="J88" s="224" t="s">
        <v>4</v>
      </c>
      <c r="K88" s="283"/>
      <c r="M88" s="286"/>
      <c r="N88" s="286"/>
      <c r="O88" s="286"/>
      <c r="P88" s="286"/>
      <c r="Q88" s="11"/>
      <c r="R88" s="92"/>
      <c r="S88" s="68"/>
      <c r="T88" s="47"/>
      <c r="V88" s="98">
        <f t="shared" si="8"/>
        <v>0</v>
      </c>
      <c r="W88" s="217">
        <f t="shared" si="9"/>
        <v>0</v>
      </c>
      <c r="X88" s="99">
        <f t="shared" si="10"/>
        <v>0</v>
      </c>
    </row>
    <row r="89" spans="1:24">
      <c r="A89" s="275" t="s">
        <v>318</v>
      </c>
      <c r="B89" s="224" t="s">
        <v>4</v>
      </c>
      <c r="C89" s="224" t="s">
        <v>4</v>
      </c>
      <c r="D89" s="31"/>
      <c r="E89" s="275"/>
      <c r="F89" s="31"/>
      <c r="G89" s="31"/>
      <c r="H89" s="31"/>
      <c r="I89" s="91">
        <f t="shared" si="11"/>
        <v>0</v>
      </c>
      <c r="J89" s="224" t="s">
        <v>4</v>
      </c>
      <c r="K89" s="283"/>
      <c r="M89" s="286"/>
      <c r="N89" s="286"/>
      <c r="O89" s="286"/>
      <c r="P89" s="286"/>
      <c r="Q89" s="11"/>
      <c r="R89" s="92"/>
      <c r="S89" s="68"/>
      <c r="T89" s="47"/>
      <c r="V89" s="98">
        <f t="shared" si="8"/>
        <v>0</v>
      </c>
      <c r="W89" s="217">
        <f t="shared" si="9"/>
        <v>0</v>
      </c>
      <c r="X89" s="99">
        <f t="shared" si="10"/>
        <v>0</v>
      </c>
    </row>
    <row r="90" spans="1:24">
      <c r="A90" s="275" t="s">
        <v>318</v>
      </c>
      <c r="B90" s="224" t="s">
        <v>4</v>
      </c>
      <c r="C90" s="224" t="s">
        <v>4</v>
      </c>
      <c r="D90" s="31"/>
      <c r="E90" s="275"/>
      <c r="F90" s="31"/>
      <c r="G90" s="31"/>
      <c r="H90" s="31"/>
      <c r="I90" s="91">
        <f t="shared" si="11"/>
        <v>0</v>
      </c>
      <c r="J90" s="224" t="s">
        <v>4</v>
      </c>
      <c r="K90" s="283"/>
      <c r="M90" s="286"/>
      <c r="N90" s="286"/>
      <c r="O90" s="286"/>
      <c r="P90" s="286"/>
      <c r="Q90" s="11"/>
      <c r="R90" s="92"/>
      <c r="S90" s="68"/>
      <c r="T90" s="47"/>
      <c r="V90" s="98">
        <f t="shared" si="8"/>
        <v>0</v>
      </c>
      <c r="W90" s="217">
        <f t="shared" si="9"/>
        <v>0</v>
      </c>
      <c r="X90" s="99">
        <f t="shared" si="10"/>
        <v>0</v>
      </c>
    </row>
    <row r="91" spans="1:24">
      <c r="A91" s="275" t="s">
        <v>318</v>
      </c>
      <c r="B91" s="224" t="s">
        <v>4</v>
      </c>
      <c r="C91" s="224" t="s">
        <v>4</v>
      </c>
      <c r="D91" s="31"/>
      <c r="E91" s="275"/>
      <c r="F91" s="31"/>
      <c r="G91" s="31"/>
      <c r="H91" s="31"/>
      <c r="I91" s="91">
        <f t="shared" si="11"/>
        <v>0</v>
      </c>
      <c r="J91" s="224" t="s">
        <v>4</v>
      </c>
      <c r="K91" s="283"/>
      <c r="M91" s="286"/>
      <c r="N91" s="286"/>
      <c r="O91" s="286"/>
      <c r="P91" s="286"/>
      <c r="Q91" s="11"/>
      <c r="R91" s="92"/>
      <c r="S91" s="68"/>
      <c r="T91" s="47"/>
      <c r="V91" s="98">
        <f t="shared" si="8"/>
        <v>0</v>
      </c>
      <c r="W91" s="217">
        <f t="shared" si="9"/>
        <v>0</v>
      </c>
      <c r="X91" s="99">
        <f t="shared" si="10"/>
        <v>0</v>
      </c>
    </row>
    <row r="92" spans="1:24">
      <c r="A92" s="275" t="s">
        <v>318</v>
      </c>
      <c r="B92" s="224" t="s">
        <v>4</v>
      </c>
      <c r="C92" s="224" t="s">
        <v>4</v>
      </c>
      <c r="D92" s="31"/>
      <c r="E92" s="275"/>
      <c r="F92" s="31"/>
      <c r="G92" s="31"/>
      <c r="H92" s="31"/>
      <c r="I92" s="91">
        <f t="shared" si="11"/>
        <v>0</v>
      </c>
      <c r="J92" s="224" t="s">
        <v>4</v>
      </c>
      <c r="K92" s="283"/>
      <c r="M92" s="286"/>
      <c r="N92" s="286"/>
      <c r="O92" s="286"/>
      <c r="P92" s="286"/>
      <c r="Q92" s="11"/>
      <c r="R92" s="92"/>
      <c r="S92" s="68"/>
      <c r="T92" s="47"/>
      <c r="V92" s="98">
        <f t="shared" si="8"/>
        <v>0</v>
      </c>
      <c r="W92" s="217">
        <f t="shared" si="9"/>
        <v>0</v>
      </c>
      <c r="X92" s="99">
        <f t="shared" si="10"/>
        <v>0</v>
      </c>
    </row>
    <row r="93" spans="1:24">
      <c r="A93" s="275" t="s">
        <v>318</v>
      </c>
      <c r="B93" s="224" t="s">
        <v>4</v>
      </c>
      <c r="C93" s="224" t="s">
        <v>4</v>
      </c>
      <c r="D93" s="31"/>
      <c r="E93" s="275"/>
      <c r="F93" s="31"/>
      <c r="G93" s="31"/>
      <c r="H93" s="31"/>
      <c r="I93" s="91">
        <f t="shared" si="11"/>
        <v>0</v>
      </c>
      <c r="J93" s="224" t="s">
        <v>4</v>
      </c>
      <c r="K93" s="283"/>
      <c r="M93" s="286"/>
      <c r="N93" s="286"/>
      <c r="O93" s="286"/>
      <c r="P93" s="286"/>
      <c r="Q93" s="11"/>
      <c r="R93" s="92"/>
      <c r="S93" s="68"/>
      <c r="T93" s="47"/>
      <c r="V93" s="98">
        <f t="shared" si="8"/>
        <v>0</v>
      </c>
      <c r="W93" s="217">
        <f t="shared" si="9"/>
        <v>0</v>
      </c>
      <c r="X93" s="99">
        <f t="shared" si="10"/>
        <v>0</v>
      </c>
    </row>
    <row r="94" spans="1:24">
      <c r="A94" s="275" t="s">
        <v>318</v>
      </c>
      <c r="B94" s="224" t="s">
        <v>4</v>
      </c>
      <c r="C94" s="224" t="s">
        <v>4</v>
      </c>
      <c r="D94" s="31"/>
      <c r="E94" s="275"/>
      <c r="F94" s="31"/>
      <c r="G94" s="31"/>
      <c r="H94" s="31"/>
      <c r="I94" s="91">
        <f t="shared" si="11"/>
        <v>0</v>
      </c>
      <c r="J94" s="224" t="s">
        <v>4</v>
      </c>
      <c r="K94" s="283"/>
      <c r="M94" s="286"/>
      <c r="N94" s="286"/>
      <c r="O94" s="286"/>
      <c r="P94" s="286"/>
      <c r="Q94" s="11"/>
      <c r="R94" s="92"/>
      <c r="S94" s="68"/>
      <c r="T94" s="47"/>
      <c r="V94" s="98">
        <f t="shared" si="8"/>
        <v>0</v>
      </c>
      <c r="W94" s="217">
        <f t="shared" si="9"/>
        <v>0</v>
      </c>
      <c r="X94" s="99">
        <f t="shared" si="10"/>
        <v>0</v>
      </c>
    </row>
    <row r="95" spans="1:24">
      <c r="A95" s="275" t="s">
        <v>318</v>
      </c>
      <c r="B95" s="224" t="s">
        <v>4</v>
      </c>
      <c r="C95" s="224" t="s">
        <v>4</v>
      </c>
      <c r="D95" s="31"/>
      <c r="E95" s="275"/>
      <c r="F95" s="31"/>
      <c r="G95" s="31"/>
      <c r="H95" s="31"/>
      <c r="I95" s="91">
        <f t="shared" si="11"/>
        <v>0</v>
      </c>
      <c r="J95" s="224" t="s">
        <v>4</v>
      </c>
      <c r="K95" s="283"/>
      <c r="M95" s="286"/>
      <c r="N95" s="286"/>
      <c r="O95" s="286"/>
      <c r="P95" s="286"/>
      <c r="Q95" s="11"/>
      <c r="R95" s="92"/>
      <c r="S95" s="68"/>
      <c r="T95" s="47"/>
      <c r="V95" s="98">
        <f t="shared" si="8"/>
        <v>0</v>
      </c>
      <c r="W95" s="217">
        <f t="shared" si="9"/>
        <v>0</v>
      </c>
      <c r="X95" s="99">
        <f t="shared" si="10"/>
        <v>0</v>
      </c>
    </row>
    <row r="96" spans="1:24">
      <c r="A96" s="275" t="s">
        <v>318</v>
      </c>
      <c r="B96" s="224" t="s">
        <v>4</v>
      </c>
      <c r="C96" s="224" t="s">
        <v>4</v>
      </c>
      <c r="D96" s="31"/>
      <c r="E96" s="275"/>
      <c r="F96" s="31"/>
      <c r="G96" s="31"/>
      <c r="H96" s="31"/>
      <c r="I96" s="91">
        <f t="shared" si="11"/>
        <v>0</v>
      </c>
      <c r="J96" s="224" t="s">
        <v>4</v>
      </c>
      <c r="K96" s="283"/>
      <c r="M96" s="286"/>
      <c r="N96" s="286"/>
      <c r="O96" s="286"/>
      <c r="P96" s="286"/>
      <c r="Q96" s="11"/>
      <c r="R96" s="92"/>
      <c r="S96" s="68"/>
      <c r="T96" s="47"/>
      <c r="V96" s="98">
        <f t="shared" si="8"/>
        <v>0</v>
      </c>
      <c r="W96" s="217">
        <f t="shared" si="9"/>
        <v>0</v>
      </c>
      <c r="X96" s="99">
        <f t="shared" si="10"/>
        <v>0</v>
      </c>
    </row>
    <row r="97" spans="1:24">
      <c r="A97" s="275" t="s">
        <v>318</v>
      </c>
      <c r="B97" s="224" t="s">
        <v>4</v>
      </c>
      <c r="C97" s="224" t="s">
        <v>4</v>
      </c>
      <c r="D97" s="31"/>
      <c r="E97" s="275"/>
      <c r="F97" s="31"/>
      <c r="G97" s="31"/>
      <c r="H97" s="31"/>
      <c r="I97" s="91">
        <f t="shared" si="11"/>
        <v>0</v>
      </c>
      <c r="J97" s="224" t="s">
        <v>4</v>
      </c>
      <c r="K97" s="283"/>
      <c r="M97" s="286"/>
      <c r="N97" s="286"/>
      <c r="O97" s="286"/>
      <c r="P97" s="286"/>
      <c r="Q97" s="11"/>
      <c r="R97" s="92"/>
      <c r="S97" s="68"/>
      <c r="T97" s="47"/>
      <c r="V97" s="98">
        <f t="shared" si="8"/>
        <v>0</v>
      </c>
      <c r="W97" s="217">
        <f t="shared" si="9"/>
        <v>0</v>
      </c>
      <c r="X97" s="99">
        <f t="shared" si="10"/>
        <v>0</v>
      </c>
    </row>
    <row r="98" spans="1:24">
      <c r="A98" s="275" t="s">
        <v>318</v>
      </c>
      <c r="B98" s="224" t="s">
        <v>4</v>
      </c>
      <c r="C98" s="224" t="s">
        <v>4</v>
      </c>
      <c r="D98" s="31"/>
      <c r="E98" s="275"/>
      <c r="F98" s="31"/>
      <c r="G98" s="31"/>
      <c r="H98" s="31"/>
      <c r="I98" s="91">
        <f t="shared" si="11"/>
        <v>0</v>
      </c>
      <c r="J98" s="224" t="s">
        <v>4</v>
      </c>
      <c r="K98" s="283"/>
      <c r="M98" s="286"/>
      <c r="N98" s="286"/>
      <c r="O98" s="286"/>
      <c r="P98" s="286"/>
      <c r="Q98" s="11"/>
      <c r="R98" s="92"/>
      <c r="S98" s="68"/>
      <c r="T98" s="47"/>
      <c r="V98" s="98">
        <f t="shared" si="8"/>
        <v>0</v>
      </c>
      <c r="W98" s="217">
        <f t="shared" si="9"/>
        <v>0</v>
      </c>
      <c r="X98" s="99">
        <f t="shared" si="10"/>
        <v>0</v>
      </c>
    </row>
    <row r="99" spans="1:24">
      <c r="A99" s="275" t="s">
        <v>318</v>
      </c>
      <c r="B99" s="224" t="s">
        <v>4</v>
      </c>
      <c r="C99" s="224" t="s">
        <v>4</v>
      </c>
      <c r="D99" s="31"/>
      <c r="E99" s="275"/>
      <c r="F99" s="31"/>
      <c r="G99" s="31"/>
      <c r="H99" s="31"/>
      <c r="I99" s="91">
        <f t="shared" si="11"/>
        <v>0</v>
      </c>
      <c r="J99" s="224" t="s">
        <v>4</v>
      </c>
      <c r="K99" s="283"/>
      <c r="M99" s="286"/>
      <c r="N99" s="286"/>
      <c r="O99" s="286"/>
      <c r="P99" s="286"/>
      <c r="Q99" s="11"/>
      <c r="R99" s="92"/>
      <c r="S99" s="68"/>
      <c r="T99" s="47"/>
      <c r="V99" s="98">
        <f t="shared" si="8"/>
        <v>0</v>
      </c>
      <c r="W99" s="217">
        <f t="shared" si="9"/>
        <v>0</v>
      </c>
      <c r="X99" s="99">
        <f t="shared" si="10"/>
        <v>0</v>
      </c>
    </row>
    <row r="100" spans="1:24">
      <c r="A100" s="275" t="s">
        <v>318</v>
      </c>
      <c r="B100" s="224" t="s">
        <v>4</v>
      </c>
      <c r="C100" s="224" t="s">
        <v>4</v>
      </c>
      <c r="D100" s="31"/>
      <c r="E100" s="275"/>
      <c r="F100" s="31"/>
      <c r="G100" s="31"/>
      <c r="H100" s="31"/>
      <c r="I100" s="91">
        <f t="shared" si="11"/>
        <v>0</v>
      </c>
      <c r="J100" s="224" t="s">
        <v>4</v>
      </c>
      <c r="K100" s="283"/>
      <c r="M100" s="286"/>
      <c r="N100" s="286"/>
      <c r="O100" s="286"/>
      <c r="P100" s="286"/>
      <c r="Q100" s="11"/>
      <c r="R100" s="92"/>
      <c r="S100" s="68"/>
      <c r="T100" s="47"/>
      <c r="V100" s="98">
        <f t="shared" si="8"/>
        <v>0</v>
      </c>
      <c r="W100" s="217">
        <f t="shared" si="9"/>
        <v>0</v>
      </c>
      <c r="X100" s="99">
        <f t="shared" si="10"/>
        <v>0</v>
      </c>
    </row>
    <row r="101" spans="1:24">
      <c r="A101" s="275" t="s">
        <v>318</v>
      </c>
      <c r="B101" s="224" t="s">
        <v>4</v>
      </c>
      <c r="C101" s="224" t="s">
        <v>4</v>
      </c>
      <c r="D101" s="31"/>
      <c r="E101" s="275"/>
      <c r="F101" s="31"/>
      <c r="G101" s="31"/>
      <c r="H101" s="31"/>
      <c r="I101" s="91">
        <f t="shared" si="11"/>
        <v>0</v>
      </c>
      <c r="J101" s="224" t="s">
        <v>4</v>
      </c>
      <c r="K101" s="283"/>
      <c r="M101" s="286"/>
      <c r="N101" s="286"/>
      <c r="O101" s="286"/>
      <c r="P101" s="286"/>
      <c r="Q101" s="11"/>
      <c r="R101" s="92"/>
      <c r="S101" s="68"/>
      <c r="T101" s="47"/>
      <c r="V101" s="98">
        <f t="shared" si="8"/>
        <v>0</v>
      </c>
      <c r="W101" s="217">
        <f t="shared" si="9"/>
        <v>0</v>
      </c>
      <c r="X101" s="99">
        <f t="shared" si="10"/>
        <v>0</v>
      </c>
    </row>
    <row r="102" spans="1:24">
      <c r="A102" s="275" t="s">
        <v>318</v>
      </c>
      <c r="B102" s="224" t="s">
        <v>4</v>
      </c>
      <c r="C102" s="224" t="s">
        <v>4</v>
      </c>
      <c r="D102" s="31"/>
      <c r="E102" s="275"/>
      <c r="F102" s="31"/>
      <c r="G102" s="31"/>
      <c r="H102" s="31"/>
      <c r="I102" s="91">
        <f t="shared" si="11"/>
        <v>0</v>
      </c>
      <c r="J102" s="224" t="s">
        <v>4</v>
      </c>
      <c r="K102" s="283"/>
      <c r="M102" s="286"/>
      <c r="N102" s="286"/>
      <c r="O102" s="286"/>
      <c r="P102" s="286"/>
      <c r="Q102" s="11"/>
      <c r="R102" s="92"/>
      <c r="S102" s="68"/>
      <c r="T102" s="47"/>
      <c r="V102" s="98">
        <f t="shared" si="8"/>
        <v>0</v>
      </c>
      <c r="W102" s="217">
        <f t="shared" si="9"/>
        <v>0</v>
      </c>
      <c r="X102" s="99">
        <f t="shared" si="10"/>
        <v>0</v>
      </c>
    </row>
    <row r="103" spans="1:24">
      <c r="A103" s="275" t="s">
        <v>318</v>
      </c>
      <c r="B103" s="224" t="s">
        <v>4</v>
      </c>
      <c r="C103" s="224" t="s">
        <v>4</v>
      </c>
      <c r="D103" s="31"/>
      <c r="E103" s="275"/>
      <c r="F103" s="31"/>
      <c r="G103" s="31"/>
      <c r="H103" s="31"/>
      <c r="I103" s="91">
        <f t="shared" si="11"/>
        <v>0</v>
      </c>
      <c r="J103" s="224" t="s">
        <v>4</v>
      </c>
      <c r="K103" s="283"/>
      <c r="M103" s="286"/>
      <c r="N103" s="286"/>
      <c r="O103" s="286"/>
      <c r="P103" s="286"/>
      <c r="Q103" s="11"/>
      <c r="R103" s="92"/>
      <c r="S103" s="68"/>
      <c r="T103" s="47"/>
      <c r="V103" s="98">
        <f t="shared" si="8"/>
        <v>0</v>
      </c>
      <c r="W103" s="217">
        <f t="shared" si="9"/>
        <v>0</v>
      </c>
      <c r="X103" s="99">
        <f t="shared" si="10"/>
        <v>0</v>
      </c>
    </row>
    <row r="104" spans="1:24">
      <c r="A104" s="275" t="s">
        <v>318</v>
      </c>
      <c r="B104" s="224" t="s">
        <v>4</v>
      </c>
      <c r="C104" s="224" t="s">
        <v>4</v>
      </c>
      <c r="D104" s="31"/>
      <c r="E104" s="275"/>
      <c r="F104" s="31"/>
      <c r="G104" s="31"/>
      <c r="H104" s="31"/>
      <c r="I104" s="91">
        <f t="shared" si="11"/>
        <v>0</v>
      </c>
      <c r="J104" s="224" t="s">
        <v>4</v>
      </c>
      <c r="K104" s="283"/>
      <c r="M104" s="286"/>
      <c r="N104" s="286"/>
      <c r="O104" s="286"/>
      <c r="P104" s="286"/>
      <c r="Q104" s="11"/>
      <c r="R104" s="92"/>
      <c r="S104" s="68"/>
      <c r="T104" s="47"/>
      <c r="V104" s="98">
        <f t="shared" si="8"/>
        <v>0</v>
      </c>
      <c r="W104" s="217">
        <f t="shared" si="9"/>
        <v>0</v>
      </c>
      <c r="X104" s="99">
        <f t="shared" si="10"/>
        <v>0</v>
      </c>
    </row>
    <row r="105" spans="1:24">
      <c r="A105" s="275" t="s">
        <v>318</v>
      </c>
      <c r="B105" s="224" t="s">
        <v>4</v>
      </c>
      <c r="C105" s="224" t="s">
        <v>4</v>
      </c>
      <c r="D105" s="31"/>
      <c r="E105" s="275"/>
      <c r="F105" s="31"/>
      <c r="G105" s="31"/>
      <c r="H105" s="31"/>
      <c r="I105" s="91">
        <f t="shared" si="11"/>
        <v>0</v>
      </c>
      <c r="J105" s="224" t="s">
        <v>4</v>
      </c>
      <c r="K105" s="283"/>
      <c r="M105" s="286"/>
      <c r="N105" s="286"/>
      <c r="O105" s="286"/>
      <c r="P105" s="286"/>
      <c r="Q105" s="11"/>
      <c r="R105" s="92"/>
      <c r="S105" s="68"/>
      <c r="T105" s="47"/>
      <c r="V105" s="98">
        <f t="shared" si="8"/>
        <v>0</v>
      </c>
      <c r="W105" s="217">
        <f t="shared" si="9"/>
        <v>0</v>
      </c>
      <c r="X105" s="99">
        <f t="shared" si="10"/>
        <v>0</v>
      </c>
    </row>
    <row r="106" spans="1:24">
      <c r="A106" s="275" t="s">
        <v>318</v>
      </c>
      <c r="B106" s="224" t="s">
        <v>4</v>
      </c>
      <c r="C106" s="224" t="s">
        <v>4</v>
      </c>
      <c r="D106" s="31"/>
      <c r="E106" s="275"/>
      <c r="F106" s="31"/>
      <c r="G106" s="31"/>
      <c r="H106" s="31"/>
      <c r="I106" s="91">
        <f t="shared" si="11"/>
        <v>0</v>
      </c>
      <c r="J106" s="224" t="s">
        <v>4</v>
      </c>
      <c r="K106" s="283"/>
      <c r="M106" s="286"/>
      <c r="N106" s="286"/>
      <c r="O106" s="286"/>
      <c r="P106" s="286"/>
      <c r="Q106" s="11"/>
      <c r="R106" s="92"/>
      <c r="S106" s="68"/>
      <c r="T106" s="47"/>
      <c r="V106" s="98">
        <f t="shared" si="8"/>
        <v>0</v>
      </c>
      <c r="W106" s="217">
        <f t="shared" si="9"/>
        <v>0</v>
      </c>
      <c r="X106" s="99">
        <f t="shared" si="10"/>
        <v>0</v>
      </c>
    </row>
    <row r="107" spans="1:24">
      <c r="A107" s="275" t="s">
        <v>318</v>
      </c>
      <c r="B107" s="224" t="s">
        <v>4</v>
      </c>
      <c r="C107" s="224" t="s">
        <v>4</v>
      </c>
      <c r="D107" s="31"/>
      <c r="E107" s="275"/>
      <c r="F107" s="31"/>
      <c r="G107" s="31"/>
      <c r="H107" s="31"/>
      <c r="I107" s="91">
        <f t="shared" si="11"/>
        <v>0</v>
      </c>
      <c r="J107" s="224" t="s">
        <v>4</v>
      </c>
      <c r="K107" s="283"/>
      <c r="M107" s="286"/>
      <c r="N107" s="286"/>
      <c r="O107" s="286"/>
      <c r="P107" s="286"/>
      <c r="Q107" s="11"/>
      <c r="R107" s="92"/>
      <c r="S107" s="68"/>
      <c r="T107" s="47"/>
      <c r="V107" s="98">
        <f t="shared" si="8"/>
        <v>0</v>
      </c>
      <c r="W107" s="217">
        <f t="shared" si="9"/>
        <v>0</v>
      </c>
      <c r="X107" s="99">
        <f t="shared" si="10"/>
        <v>0</v>
      </c>
    </row>
    <row r="108" spans="1:24">
      <c r="A108" s="275" t="s">
        <v>318</v>
      </c>
      <c r="B108" s="224" t="s">
        <v>4</v>
      </c>
      <c r="C108" s="224" t="s">
        <v>4</v>
      </c>
      <c r="D108" s="31"/>
      <c r="E108" s="275"/>
      <c r="F108" s="31"/>
      <c r="G108" s="31"/>
      <c r="H108" s="31"/>
      <c r="I108" s="91">
        <f t="shared" si="11"/>
        <v>0</v>
      </c>
      <c r="J108" s="224" t="s">
        <v>4</v>
      </c>
      <c r="K108" s="283"/>
      <c r="M108" s="286"/>
      <c r="N108" s="286"/>
      <c r="O108" s="286"/>
      <c r="P108" s="286"/>
      <c r="Q108" s="11"/>
      <c r="R108" s="92"/>
      <c r="S108" s="68"/>
      <c r="T108" s="47"/>
      <c r="V108" s="98">
        <f t="shared" si="8"/>
        <v>0</v>
      </c>
      <c r="W108" s="217">
        <f t="shared" si="9"/>
        <v>0</v>
      </c>
      <c r="X108" s="99">
        <f t="shared" si="10"/>
        <v>0</v>
      </c>
    </row>
    <row r="109" spans="1:24">
      <c r="A109" s="275" t="s">
        <v>318</v>
      </c>
      <c r="B109" s="224" t="s">
        <v>4</v>
      </c>
      <c r="C109" s="224" t="s">
        <v>4</v>
      </c>
      <c r="D109" s="31"/>
      <c r="E109" s="275"/>
      <c r="F109" s="31"/>
      <c r="G109" s="31"/>
      <c r="H109" s="31"/>
      <c r="I109" s="91">
        <f t="shared" si="11"/>
        <v>0</v>
      </c>
      <c r="J109" s="224" t="s">
        <v>4</v>
      </c>
      <c r="K109" s="283"/>
      <c r="M109" s="286"/>
      <c r="N109" s="286"/>
      <c r="O109" s="286"/>
      <c r="P109" s="286"/>
      <c r="Q109" s="11"/>
      <c r="R109" s="92"/>
      <c r="S109" s="68"/>
      <c r="T109" s="47"/>
      <c r="V109" s="98">
        <f t="shared" si="8"/>
        <v>0</v>
      </c>
      <c r="W109" s="217">
        <f t="shared" si="9"/>
        <v>0</v>
      </c>
      <c r="X109" s="99">
        <f t="shared" si="10"/>
        <v>0</v>
      </c>
    </row>
    <row r="110" spans="1:24">
      <c r="A110" s="275" t="s">
        <v>318</v>
      </c>
      <c r="B110" s="224" t="s">
        <v>4</v>
      </c>
      <c r="C110" s="224" t="s">
        <v>4</v>
      </c>
      <c r="D110" s="31"/>
      <c r="E110" s="275"/>
      <c r="F110" s="31"/>
      <c r="G110" s="31"/>
      <c r="H110" s="31"/>
      <c r="I110" s="91">
        <f t="shared" si="11"/>
        <v>0</v>
      </c>
      <c r="J110" s="224" t="s">
        <v>4</v>
      </c>
      <c r="K110" s="283"/>
      <c r="M110" s="286"/>
      <c r="N110" s="286"/>
      <c r="O110" s="286"/>
      <c r="P110" s="286"/>
      <c r="Q110" s="11"/>
      <c r="R110" s="92"/>
      <c r="S110" s="68"/>
      <c r="T110" s="47"/>
      <c r="V110" s="98">
        <f t="shared" si="8"/>
        <v>0</v>
      </c>
      <c r="W110" s="217">
        <f t="shared" si="9"/>
        <v>0</v>
      </c>
      <c r="X110" s="99">
        <f t="shared" si="10"/>
        <v>0</v>
      </c>
    </row>
    <row r="111" spans="1:24">
      <c r="A111" s="275" t="s">
        <v>318</v>
      </c>
      <c r="B111" s="224" t="s">
        <v>4</v>
      </c>
      <c r="C111" s="224" t="s">
        <v>4</v>
      </c>
      <c r="D111" s="31"/>
      <c r="E111" s="275"/>
      <c r="F111" s="31"/>
      <c r="G111" s="31"/>
      <c r="H111" s="31"/>
      <c r="I111" s="91">
        <f t="shared" si="11"/>
        <v>0</v>
      </c>
      <c r="J111" s="224" t="s">
        <v>4</v>
      </c>
      <c r="K111" s="283"/>
      <c r="M111" s="286"/>
      <c r="N111" s="286"/>
      <c r="O111" s="286"/>
      <c r="P111" s="286"/>
      <c r="Q111" s="11"/>
      <c r="R111" s="92"/>
      <c r="S111" s="68"/>
      <c r="T111" s="47"/>
      <c r="V111" s="98">
        <f t="shared" si="8"/>
        <v>0</v>
      </c>
      <c r="W111" s="217">
        <f t="shared" si="9"/>
        <v>0</v>
      </c>
      <c r="X111" s="99">
        <f t="shared" si="10"/>
        <v>0</v>
      </c>
    </row>
    <row r="112" spans="1:24">
      <c r="A112" s="275" t="s">
        <v>318</v>
      </c>
      <c r="B112" s="224" t="s">
        <v>4</v>
      </c>
      <c r="C112" s="224" t="s">
        <v>4</v>
      </c>
      <c r="D112" s="31"/>
      <c r="E112" s="275"/>
      <c r="F112" s="31"/>
      <c r="G112" s="31"/>
      <c r="H112" s="31"/>
      <c r="I112" s="91">
        <f t="shared" si="11"/>
        <v>0</v>
      </c>
      <c r="J112" s="224" t="s">
        <v>4</v>
      </c>
      <c r="K112" s="283"/>
      <c r="M112" s="286"/>
      <c r="N112" s="286"/>
      <c r="O112" s="286"/>
      <c r="P112" s="286"/>
      <c r="Q112" s="11"/>
      <c r="R112" s="92"/>
      <c r="S112" s="68"/>
      <c r="T112" s="47"/>
      <c r="V112" s="98">
        <f t="shared" si="8"/>
        <v>0</v>
      </c>
      <c r="W112" s="217">
        <f t="shared" si="9"/>
        <v>0</v>
      </c>
      <c r="X112" s="99">
        <f t="shared" si="10"/>
        <v>0</v>
      </c>
    </row>
    <row r="113" spans="1:24">
      <c r="A113" s="275" t="s">
        <v>318</v>
      </c>
      <c r="B113" s="224" t="s">
        <v>4</v>
      </c>
      <c r="C113" s="224" t="s">
        <v>4</v>
      </c>
      <c r="D113" s="31"/>
      <c r="E113" s="275"/>
      <c r="F113" s="31"/>
      <c r="G113" s="31"/>
      <c r="H113" s="31"/>
      <c r="I113" s="91">
        <f t="shared" si="11"/>
        <v>0</v>
      </c>
      <c r="J113" s="224" t="s">
        <v>4</v>
      </c>
      <c r="K113" s="283"/>
      <c r="M113" s="286"/>
      <c r="N113" s="286"/>
      <c r="O113" s="286"/>
      <c r="P113" s="286"/>
      <c r="Q113" s="11"/>
      <c r="R113" s="92"/>
      <c r="S113" s="68"/>
      <c r="T113" s="47"/>
      <c r="V113" s="98">
        <f t="shared" si="8"/>
        <v>0</v>
      </c>
      <c r="W113" s="217">
        <f t="shared" si="9"/>
        <v>0</v>
      </c>
      <c r="X113" s="99">
        <f t="shared" si="10"/>
        <v>0</v>
      </c>
    </row>
    <row r="114" spans="1:24">
      <c r="A114" s="275" t="s">
        <v>318</v>
      </c>
      <c r="B114" s="224" t="s">
        <v>4</v>
      </c>
      <c r="C114" s="224" t="s">
        <v>4</v>
      </c>
      <c r="D114" s="31"/>
      <c r="E114" s="275"/>
      <c r="F114" s="31"/>
      <c r="G114" s="31"/>
      <c r="H114" s="31"/>
      <c r="I114" s="91">
        <f t="shared" si="11"/>
        <v>0</v>
      </c>
      <c r="J114" s="224" t="s">
        <v>4</v>
      </c>
      <c r="K114" s="283"/>
      <c r="M114" s="286"/>
      <c r="N114" s="286"/>
      <c r="O114" s="286"/>
      <c r="P114" s="286"/>
      <c r="Q114" s="11"/>
      <c r="R114" s="92"/>
      <c r="S114" s="68"/>
      <c r="T114" s="47"/>
      <c r="V114" s="98">
        <f t="shared" si="8"/>
        <v>0</v>
      </c>
      <c r="W114" s="217">
        <f t="shared" si="9"/>
        <v>0</v>
      </c>
      <c r="X114" s="99">
        <f t="shared" si="10"/>
        <v>0</v>
      </c>
    </row>
    <row r="115" spans="1:24">
      <c r="A115" s="275" t="s">
        <v>318</v>
      </c>
      <c r="B115" s="224" t="s">
        <v>4</v>
      </c>
      <c r="C115" s="224" t="s">
        <v>4</v>
      </c>
      <c r="D115" s="31"/>
      <c r="E115" s="275"/>
      <c r="F115" s="31"/>
      <c r="G115" s="31"/>
      <c r="H115" s="31"/>
      <c r="I115" s="91">
        <f t="shared" si="11"/>
        <v>0</v>
      </c>
      <c r="J115" s="224" t="s">
        <v>4</v>
      </c>
      <c r="K115" s="283"/>
      <c r="M115" s="286"/>
      <c r="N115" s="286"/>
      <c r="O115" s="286"/>
      <c r="P115" s="286"/>
      <c r="Q115" s="11"/>
      <c r="R115" s="92"/>
      <c r="S115" s="68"/>
      <c r="T115" s="47"/>
      <c r="V115" s="98">
        <f t="shared" si="8"/>
        <v>0</v>
      </c>
      <c r="W115" s="217">
        <f t="shared" si="9"/>
        <v>0</v>
      </c>
      <c r="X115" s="99">
        <f t="shared" si="10"/>
        <v>0</v>
      </c>
    </row>
    <row r="116" spans="1:24">
      <c r="A116" s="275" t="s">
        <v>318</v>
      </c>
      <c r="B116" s="224" t="s">
        <v>4</v>
      </c>
      <c r="C116" s="224" t="s">
        <v>4</v>
      </c>
      <c r="D116" s="31"/>
      <c r="E116" s="275"/>
      <c r="F116" s="31"/>
      <c r="G116" s="31"/>
      <c r="H116" s="31"/>
      <c r="I116" s="91">
        <f t="shared" si="11"/>
        <v>0</v>
      </c>
      <c r="J116" s="224" t="s">
        <v>4</v>
      </c>
      <c r="K116" s="283"/>
      <c r="M116" s="286"/>
      <c r="N116" s="286"/>
      <c r="O116" s="286"/>
      <c r="P116" s="286"/>
      <c r="Q116" s="11"/>
      <c r="R116" s="92"/>
      <c r="S116" s="68"/>
      <c r="T116" s="47"/>
      <c r="V116" s="98">
        <f t="shared" ref="V116:V147" si="12">IF($V$12&gt;I116,0,((IF(DATEDIF($V$12,I116+1,"M")&lt;13,DATEDIF($V$12,I116+1,"M")*R116,12*R116))))</f>
        <v>0</v>
      </c>
      <c r="W116" s="217">
        <f t="shared" ref="W116:W147" si="13">IF(V116=0,0,(IF(DATEDIF($V$12,I116+1,"M")&lt;60,DATEDIF($V$12,I116+1,"M")*R116,60*R116)-V116))</f>
        <v>0</v>
      </c>
      <c r="X116" s="99">
        <f t="shared" ref="X116:X147" si="14">IF(V116=0,0,((IF(DATEDIF($V$12,I116+1,"M")&gt;60,DATEDIF($V$12,I116+1,"M")*R116-V116-W116,0))))</f>
        <v>0</v>
      </c>
    </row>
    <row r="117" spans="1:24">
      <c r="A117" s="275" t="s">
        <v>318</v>
      </c>
      <c r="B117" s="224" t="s">
        <v>4</v>
      </c>
      <c r="C117" s="224" t="s">
        <v>4</v>
      </c>
      <c r="D117" s="31"/>
      <c r="E117" s="275"/>
      <c r="F117" s="31"/>
      <c r="G117" s="31"/>
      <c r="H117" s="31"/>
      <c r="I117" s="91">
        <f t="shared" si="11"/>
        <v>0</v>
      </c>
      <c r="J117" s="224" t="s">
        <v>4</v>
      </c>
      <c r="K117" s="284"/>
      <c r="M117" s="286"/>
      <c r="N117" s="286"/>
      <c r="O117" s="286"/>
      <c r="P117" s="286"/>
      <c r="Q117" s="11"/>
      <c r="R117" s="92"/>
      <c r="S117" s="68"/>
      <c r="T117" s="47"/>
      <c r="V117" s="98">
        <f t="shared" si="12"/>
        <v>0</v>
      </c>
      <c r="W117" s="217">
        <f t="shared" si="13"/>
        <v>0</v>
      </c>
      <c r="X117" s="99">
        <f t="shared" si="14"/>
        <v>0</v>
      </c>
    </row>
    <row r="118" spans="1:24">
      <c r="A118" s="275" t="s">
        <v>318</v>
      </c>
      <c r="B118" s="224" t="s">
        <v>4</v>
      </c>
      <c r="C118" s="224" t="s">
        <v>4</v>
      </c>
      <c r="D118" s="31"/>
      <c r="E118" s="275"/>
      <c r="F118" s="31"/>
      <c r="G118" s="31"/>
      <c r="H118" s="31"/>
      <c r="I118" s="91">
        <f t="shared" si="11"/>
        <v>0</v>
      </c>
      <c r="J118" s="224" t="s">
        <v>4</v>
      </c>
      <c r="K118" s="284"/>
      <c r="M118" s="286"/>
      <c r="N118" s="286"/>
      <c r="O118" s="286"/>
      <c r="P118" s="286"/>
      <c r="Q118" s="11"/>
      <c r="R118" s="92"/>
      <c r="S118" s="68"/>
      <c r="T118" s="47"/>
      <c r="V118" s="98">
        <f t="shared" si="12"/>
        <v>0</v>
      </c>
      <c r="W118" s="217">
        <f t="shared" si="13"/>
        <v>0</v>
      </c>
      <c r="X118" s="99">
        <f t="shared" si="14"/>
        <v>0</v>
      </c>
    </row>
    <row r="119" spans="1:24">
      <c r="A119" s="275" t="s">
        <v>318</v>
      </c>
      <c r="B119" s="224" t="s">
        <v>4</v>
      </c>
      <c r="C119" s="224" t="s">
        <v>4</v>
      </c>
      <c r="D119" s="31"/>
      <c r="E119" s="275"/>
      <c r="F119" s="31"/>
      <c r="G119" s="31"/>
      <c r="H119" s="31"/>
      <c r="I119" s="91">
        <f t="shared" si="11"/>
        <v>0</v>
      </c>
      <c r="J119" s="224" t="s">
        <v>4</v>
      </c>
      <c r="K119" s="284"/>
      <c r="M119" s="286"/>
      <c r="N119" s="286"/>
      <c r="O119" s="286"/>
      <c r="P119" s="286"/>
      <c r="Q119" s="11"/>
      <c r="R119" s="92"/>
      <c r="S119" s="68"/>
      <c r="T119" s="47"/>
      <c r="V119" s="98">
        <f t="shared" si="12"/>
        <v>0</v>
      </c>
      <c r="W119" s="217">
        <f t="shared" si="13"/>
        <v>0</v>
      </c>
      <c r="X119" s="99">
        <f t="shared" si="14"/>
        <v>0</v>
      </c>
    </row>
    <row r="120" spans="1:24">
      <c r="A120" s="275" t="s">
        <v>318</v>
      </c>
      <c r="B120" s="224" t="s">
        <v>4</v>
      </c>
      <c r="C120" s="224" t="s">
        <v>4</v>
      </c>
      <c r="D120" s="31"/>
      <c r="E120" s="275"/>
      <c r="F120" s="31"/>
      <c r="G120" s="31"/>
      <c r="H120" s="31"/>
      <c r="I120" s="91">
        <f t="shared" si="11"/>
        <v>0</v>
      </c>
      <c r="J120" s="224" t="s">
        <v>4</v>
      </c>
      <c r="K120" s="284"/>
      <c r="M120" s="286"/>
      <c r="N120" s="286"/>
      <c r="O120" s="286"/>
      <c r="P120" s="286"/>
      <c r="Q120" s="11"/>
      <c r="R120" s="92"/>
      <c r="S120" s="68"/>
      <c r="T120" s="47"/>
      <c r="V120" s="98">
        <f t="shared" si="12"/>
        <v>0</v>
      </c>
      <c r="W120" s="217">
        <f t="shared" si="13"/>
        <v>0</v>
      </c>
      <c r="X120" s="99">
        <f t="shared" si="14"/>
        <v>0</v>
      </c>
    </row>
    <row r="121" spans="1:24">
      <c r="A121" s="275" t="s">
        <v>318</v>
      </c>
      <c r="B121" s="224" t="s">
        <v>4</v>
      </c>
      <c r="C121" s="224" t="s">
        <v>4</v>
      </c>
      <c r="D121" s="31"/>
      <c r="E121" s="275"/>
      <c r="F121" s="31"/>
      <c r="G121" s="31"/>
      <c r="H121" s="31"/>
      <c r="I121" s="91">
        <f t="shared" si="11"/>
        <v>0</v>
      </c>
      <c r="J121" s="224" t="s">
        <v>4</v>
      </c>
      <c r="K121" s="284"/>
      <c r="M121" s="286"/>
      <c r="N121" s="286"/>
      <c r="O121" s="286"/>
      <c r="P121" s="286"/>
      <c r="Q121" s="11"/>
      <c r="R121" s="92"/>
      <c r="S121" s="68"/>
      <c r="T121" s="47"/>
      <c r="V121" s="98">
        <f t="shared" si="12"/>
        <v>0</v>
      </c>
      <c r="W121" s="217">
        <f t="shared" si="13"/>
        <v>0</v>
      </c>
      <c r="X121" s="99">
        <f t="shared" si="14"/>
        <v>0</v>
      </c>
    </row>
    <row r="122" spans="1:24">
      <c r="A122" s="275" t="s">
        <v>318</v>
      </c>
      <c r="B122" s="224" t="s">
        <v>4</v>
      </c>
      <c r="C122" s="224" t="s">
        <v>4</v>
      </c>
      <c r="D122" s="31"/>
      <c r="E122" s="275"/>
      <c r="F122" s="31"/>
      <c r="G122" s="31"/>
      <c r="H122" s="31"/>
      <c r="I122" s="91">
        <f t="shared" si="11"/>
        <v>0</v>
      </c>
      <c r="J122" s="224" t="s">
        <v>4</v>
      </c>
      <c r="K122" s="284"/>
      <c r="M122" s="286"/>
      <c r="N122" s="286"/>
      <c r="O122" s="286"/>
      <c r="P122" s="286"/>
      <c r="Q122" s="11"/>
      <c r="R122" s="92"/>
      <c r="S122" s="68"/>
      <c r="T122" s="47"/>
      <c r="V122" s="98">
        <f t="shared" si="12"/>
        <v>0</v>
      </c>
      <c r="W122" s="217">
        <f t="shared" si="13"/>
        <v>0</v>
      </c>
      <c r="X122" s="99">
        <f t="shared" si="14"/>
        <v>0</v>
      </c>
    </row>
    <row r="123" spans="1:24">
      <c r="A123" s="275" t="s">
        <v>318</v>
      </c>
      <c r="B123" s="224" t="s">
        <v>4</v>
      </c>
      <c r="C123" s="224" t="s">
        <v>4</v>
      </c>
      <c r="D123" s="31"/>
      <c r="E123" s="275"/>
      <c r="F123" s="31"/>
      <c r="G123" s="31"/>
      <c r="H123" s="31"/>
      <c r="I123" s="91">
        <f t="shared" si="11"/>
        <v>0</v>
      </c>
      <c r="J123" s="224" t="s">
        <v>4</v>
      </c>
      <c r="K123" s="284"/>
      <c r="M123" s="286"/>
      <c r="N123" s="286"/>
      <c r="O123" s="286"/>
      <c r="P123" s="286"/>
      <c r="Q123" s="11"/>
      <c r="R123" s="92"/>
      <c r="S123" s="68"/>
      <c r="T123" s="47"/>
      <c r="V123" s="98">
        <f t="shared" si="12"/>
        <v>0</v>
      </c>
      <c r="W123" s="217">
        <f t="shared" si="13"/>
        <v>0</v>
      </c>
      <c r="X123" s="99">
        <f t="shared" si="14"/>
        <v>0</v>
      </c>
    </row>
    <row r="124" spans="1:24">
      <c r="A124" s="275" t="s">
        <v>318</v>
      </c>
      <c r="B124" s="224" t="s">
        <v>4</v>
      </c>
      <c r="C124" s="224" t="s">
        <v>4</v>
      </c>
      <c r="D124" s="31"/>
      <c r="E124" s="275"/>
      <c r="F124" s="31"/>
      <c r="G124" s="31"/>
      <c r="H124" s="31"/>
      <c r="I124" s="91">
        <f t="shared" si="11"/>
        <v>0</v>
      </c>
      <c r="J124" s="224" t="s">
        <v>4</v>
      </c>
      <c r="K124" s="284"/>
      <c r="M124" s="286"/>
      <c r="N124" s="286"/>
      <c r="O124" s="286"/>
      <c r="P124" s="286"/>
      <c r="Q124" s="11"/>
      <c r="R124" s="92"/>
      <c r="S124" s="68"/>
      <c r="T124" s="47"/>
      <c r="V124" s="98">
        <f t="shared" si="12"/>
        <v>0</v>
      </c>
      <c r="W124" s="217">
        <f t="shared" si="13"/>
        <v>0</v>
      </c>
      <c r="X124" s="99">
        <f t="shared" si="14"/>
        <v>0</v>
      </c>
    </row>
    <row r="125" spans="1:24">
      <c r="A125" s="275" t="s">
        <v>318</v>
      </c>
      <c r="B125" s="224" t="s">
        <v>4</v>
      </c>
      <c r="C125" s="224" t="s">
        <v>4</v>
      </c>
      <c r="D125" s="31"/>
      <c r="E125" s="275"/>
      <c r="F125" s="31"/>
      <c r="G125" s="31"/>
      <c r="H125" s="31"/>
      <c r="I125" s="91">
        <f t="shared" si="11"/>
        <v>0</v>
      </c>
      <c r="J125" s="224" t="s">
        <v>4</v>
      </c>
      <c r="K125" s="284"/>
      <c r="M125" s="286"/>
      <c r="N125" s="286"/>
      <c r="O125" s="286"/>
      <c r="P125" s="286"/>
      <c r="Q125" s="11"/>
      <c r="R125" s="92"/>
      <c r="S125" s="68"/>
      <c r="T125" s="47"/>
      <c r="V125" s="98">
        <f t="shared" si="12"/>
        <v>0</v>
      </c>
      <c r="W125" s="217">
        <f t="shared" si="13"/>
        <v>0</v>
      </c>
      <c r="X125" s="99">
        <f t="shared" si="14"/>
        <v>0</v>
      </c>
    </row>
    <row r="126" spans="1:24">
      <c r="A126" s="275" t="s">
        <v>318</v>
      </c>
      <c r="B126" s="224" t="s">
        <v>4</v>
      </c>
      <c r="C126" s="224" t="s">
        <v>4</v>
      </c>
      <c r="D126" s="31"/>
      <c r="E126" s="275"/>
      <c r="F126" s="31"/>
      <c r="G126" s="31"/>
      <c r="H126" s="31"/>
      <c r="I126" s="91">
        <f t="shared" si="11"/>
        <v>0</v>
      </c>
      <c r="J126" s="224" t="s">
        <v>4</v>
      </c>
      <c r="K126" s="284"/>
      <c r="M126" s="286"/>
      <c r="N126" s="286"/>
      <c r="O126" s="286"/>
      <c r="P126" s="286"/>
      <c r="Q126" s="11"/>
      <c r="R126" s="92"/>
      <c r="S126" s="68"/>
      <c r="T126" s="47"/>
      <c r="V126" s="98">
        <f t="shared" si="12"/>
        <v>0</v>
      </c>
      <c r="W126" s="217">
        <f t="shared" si="13"/>
        <v>0</v>
      </c>
      <c r="X126" s="99">
        <f t="shared" si="14"/>
        <v>0</v>
      </c>
    </row>
    <row r="127" spans="1:24">
      <c r="A127" s="275" t="s">
        <v>318</v>
      </c>
      <c r="B127" s="224" t="s">
        <v>4</v>
      </c>
      <c r="C127" s="224" t="s">
        <v>4</v>
      </c>
      <c r="D127" s="31"/>
      <c r="E127" s="275"/>
      <c r="F127" s="31"/>
      <c r="G127" s="31"/>
      <c r="H127" s="31"/>
      <c r="I127" s="91">
        <f t="shared" si="11"/>
        <v>0</v>
      </c>
      <c r="J127" s="224" t="s">
        <v>4</v>
      </c>
      <c r="K127" s="284"/>
      <c r="M127" s="286"/>
      <c r="N127" s="286"/>
      <c r="O127" s="286"/>
      <c r="P127" s="286"/>
      <c r="Q127" s="11"/>
      <c r="R127" s="92"/>
      <c r="S127" s="68"/>
      <c r="T127" s="47"/>
      <c r="V127" s="98">
        <f t="shared" si="12"/>
        <v>0</v>
      </c>
      <c r="W127" s="217">
        <f t="shared" si="13"/>
        <v>0</v>
      </c>
      <c r="X127" s="99">
        <f t="shared" si="14"/>
        <v>0</v>
      </c>
    </row>
    <row r="128" spans="1:24">
      <c r="A128" s="275" t="s">
        <v>318</v>
      </c>
      <c r="B128" s="224" t="s">
        <v>4</v>
      </c>
      <c r="C128" s="224" t="s">
        <v>4</v>
      </c>
      <c r="D128" s="31"/>
      <c r="E128" s="275"/>
      <c r="F128" s="31"/>
      <c r="G128" s="31"/>
      <c r="H128" s="31"/>
      <c r="I128" s="91">
        <f t="shared" si="11"/>
        <v>0</v>
      </c>
      <c r="J128" s="224" t="s">
        <v>4</v>
      </c>
      <c r="K128" s="284"/>
      <c r="M128" s="286"/>
      <c r="N128" s="286"/>
      <c r="O128" s="286"/>
      <c r="P128" s="286"/>
      <c r="Q128" s="11"/>
      <c r="R128" s="92"/>
      <c r="S128" s="68"/>
      <c r="T128" s="47"/>
      <c r="V128" s="98">
        <f t="shared" si="12"/>
        <v>0</v>
      </c>
      <c r="W128" s="217">
        <f t="shared" si="13"/>
        <v>0</v>
      </c>
      <c r="X128" s="99">
        <f t="shared" si="14"/>
        <v>0</v>
      </c>
    </row>
    <row r="129" spans="1:24">
      <c r="A129" s="275" t="s">
        <v>318</v>
      </c>
      <c r="B129" s="224" t="s">
        <v>4</v>
      </c>
      <c r="C129" s="224" t="s">
        <v>4</v>
      </c>
      <c r="D129" s="31"/>
      <c r="E129" s="275"/>
      <c r="F129" s="31"/>
      <c r="G129" s="31"/>
      <c r="H129" s="31"/>
      <c r="I129" s="91">
        <f t="shared" si="11"/>
        <v>0</v>
      </c>
      <c r="J129" s="224" t="s">
        <v>4</v>
      </c>
      <c r="K129" s="284"/>
      <c r="M129" s="286"/>
      <c r="N129" s="286"/>
      <c r="O129" s="286"/>
      <c r="P129" s="286"/>
      <c r="Q129" s="11"/>
      <c r="R129" s="92"/>
      <c r="S129" s="68"/>
      <c r="T129" s="47"/>
      <c r="V129" s="98">
        <f t="shared" si="12"/>
        <v>0</v>
      </c>
      <c r="W129" s="217">
        <f t="shared" si="13"/>
        <v>0</v>
      </c>
      <c r="X129" s="99">
        <f t="shared" si="14"/>
        <v>0</v>
      </c>
    </row>
    <row r="130" spans="1:24">
      <c r="A130" s="275" t="s">
        <v>318</v>
      </c>
      <c r="B130" s="224" t="s">
        <v>4</v>
      </c>
      <c r="C130" s="224" t="s">
        <v>4</v>
      </c>
      <c r="D130" s="31"/>
      <c r="E130" s="275"/>
      <c r="F130" s="31"/>
      <c r="G130" s="31"/>
      <c r="H130" s="31"/>
      <c r="I130" s="91">
        <f t="shared" si="11"/>
        <v>0</v>
      </c>
      <c r="J130" s="224" t="s">
        <v>4</v>
      </c>
      <c r="K130" s="284"/>
      <c r="M130" s="286"/>
      <c r="N130" s="286"/>
      <c r="O130" s="286"/>
      <c r="P130" s="286"/>
      <c r="Q130" s="11"/>
      <c r="R130" s="92"/>
      <c r="S130" s="68"/>
      <c r="T130" s="47"/>
      <c r="V130" s="98">
        <f t="shared" si="12"/>
        <v>0</v>
      </c>
      <c r="W130" s="217">
        <f t="shared" si="13"/>
        <v>0</v>
      </c>
      <c r="X130" s="99">
        <f t="shared" si="14"/>
        <v>0</v>
      </c>
    </row>
    <row r="131" spans="1:24">
      <c r="A131" s="275" t="s">
        <v>318</v>
      </c>
      <c r="B131" s="224" t="s">
        <v>4</v>
      </c>
      <c r="C131" s="224" t="s">
        <v>4</v>
      </c>
      <c r="D131" s="31"/>
      <c r="E131" s="275"/>
      <c r="F131" s="31"/>
      <c r="G131" s="31"/>
      <c r="H131" s="31"/>
      <c r="I131" s="91">
        <f t="shared" si="11"/>
        <v>0</v>
      </c>
      <c r="J131" s="224" t="s">
        <v>4</v>
      </c>
      <c r="K131" s="284"/>
      <c r="M131" s="286"/>
      <c r="N131" s="286"/>
      <c r="O131" s="286"/>
      <c r="P131" s="286"/>
      <c r="Q131" s="11"/>
      <c r="R131" s="92"/>
      <c r="S131" s="68"/>
      <c r="T131" s="47"/>
      <c r="V131" s="98">
        <f t="shared" si="12"/>
        <v>0</v>
      </c>
      <c r="W131" s="217">
        <f t="shared" si="13"/>
        <v>0</v>
      </c>
      <c r="X131" s="99">
        <f t="shared" si="14"/>
        <v>0</v>
      </c>
    </row>
    <row r="132" spans="1:24">
      <c r="A132" s="275" t="s">
        <v>318</v>
      </c>
      <c r="B132" s="224" t="s">
        <v>4</v>
      </c>
      <c r="C132" s="224" t="s">
        <v>4</v>
      </c>
      <c r="D132" s="31"/>
      <c r="E132" s="275"/>
      <c r="F132" s="31"/>
      <c r="G132" s="31"/>
      <c r="H132" s="31"/>
      <c r="I132" s="91">
        <f t="shared" si="11"/>
        <v>0</v>
      </c>
      <c r="J132" s="224" t="s">
        <v>4</v>
      </c>
      <c r="K132" s="284"/>
      <c r="M132" s="286"/>
      <c r="N132" s="286"/>
      <c r="O132" s="286"/>
      <c r="P132" s="286"/>
      <c r="Q132" s="11"/>
      <c r="R132" s="92"/>
      <c r="S132" s="68"/>
      <c r="T132" s="47"/>
      <c r="V132" s="98">
        <f t="shared" si="12"/>
        <v>0</v>
      </c>
      <c r="W132" s="217">
        <f t="shared" si="13"/>
        <v>0</v>
      </c>
      <c r="X132" s="99">
        <f t="shared" si="14"/>
        <v>0</v>
      </c>
    </row>
    <row r="133" spans="1:24">
      <c r="A133" s="275" t="s">
        <v>318</v>
      </c>
      <c r="B133" s="224" t="s">
        <v>4</v>
      </c>
      <c r="C133" s="224" t="s">
        <v>4</v>
      </c>
      <c r="D133" s="31"/>
      <c r="E133" s="275"/>
      <c r="F133" s="31"/>
      <c r="G133" s="31"/>
      <c r="H133" s="31"/>
      <c r="I133" s="91">
        <f t="shared" si="11"/>
        <v>0</v>
      </c>
      <c r="J133" s="224" t="s">
        <v>4</v>
      </c>
      <c r="K133" s="284"/>
      <c r="M133" s="286"/>
      <c r="N133" s="286"/>
      <c r="O133" s="286"/>
      <c r="P133" s="286"/>
      <c r="Q133" s="11"/>
      <c r="R133" s="92"/>
      <c r="S133" s="68"/>
      <c r="T133" s="47"/>
      <c r="V133" s="98">
        <f t="shared" si="12"/>
        <v>0</v>
      </c>
      <c r="W133" s="217">
        <f t="shared" si="13"/>
        <v>0</v>
      </c>
      <c r="X133" s="99">
        <f t="shared" si="14"/>
        <v>0</v>
      </c>
    </row>
    <row r="134" spans="1:24">
      <c r="A134" s="275" t="s">
        <v>318</v>
      </c>
      <c r="B134" s="224" t="s">
        <v>4</v>
      </c>
      <c r="C134" s="224" t="s">
        <v>4</v>
      </c>
      <c r="D134" s="31"/>
      <c r="E134" s="275"/>
      <c r="F134" s="31"/>
      <c r="G134" s="31"/>
      <c r="H134" s="31"/>
      <c r="I134" s="91">
        <f t="shared" si="11"/>
        <v>0</v>
      </c>
      <c r="J134" s="224" t="s">
        <v>4</v>
      </c>
      <c r="K134" s="284"/>
      <c r="M134" s="286"/>
      <c r="N134" s="286"/>
      <c r="O134" s="286"/>
      <c r="P134" s="286"/>
      <c r="Q134" s="11"/>
      <c r="R134" s="92"/>
      <c r="S134" s="68"/>
      <c r="T134" s="47"/>
      <c r="V134" s="98">
        <f t="shared" si="12"/>
        <v>0</v>
      </c>
      <c r="W134" s="217">
        <f t="shared" si="13"/>
        <v>0</v>
      </c>
      <c r="X134" s="99">
        <f t="shared" si="14"/>
        <v>0</v>
      </c>
    </row>
    <row r="135" spans="1:24">
      <c r="A135" s="275" t="s">
        <v>318</v>
      </c>
      <c r="B135" s="224" t="s">
        <v>4</v>
      </c>
      <c r="C135" s="224" t="s">
        <v>4</v>
      </c>
      <c r="D135" s="31"/>
      <c r="E135" s="275"/>
      <c r="F135" s="31"/>
      <c r="G135" s="31"/>
      <c r="H135" s="31"/>
      <c r="I135" s="91">
        <f t="shared" si="11"/>
        <v>0</v>
      </c>
      <c r="J135" s="224" t="s">
        <v>4</v>
      </c>
      <c r="K135" s="284"/>
      <c r="M135" s="286"/>
      <c r="N135" s="286"/>
      <c r="O135" s="286"/>
      <c r="P135" s="286"/>
      <c r="Q135" s="11"/>
      <c r="R135" s="92"/>
      <c r="S135" s="68"/>
      <c r="T135" s="47"/>
      <c r="V135" s="98">
        <f t="shared" si="12"/>
        <v>0</v>
      </c>
      <c r="W135" s="217">
        <f t="shared" si="13"/>
        <v>0</v>
      </c>
      <c r="X135" s="99">
        <f t="shared" si="14"/>
        <v>0</v>
      </c>
    </row>
    <row r="136" spans="1:24">
      <c r="A136" s="275" t="s">
        <v>318</v>
      </c>
      <c r="B136" s="224" t="s">
        <v>4</v>
      </c>
      <c r="C136" s="224" t="s">
        <v>4</v>
      </c>
      <c r="D136" s="31"/>
      <c r="E136" s="275"/>
      <c r="F136" s="31"/>
      <c r="G136" s="31"/>
      <c r="H136" s="31"/>
      <c r="I136" s="91">
        <f t="shared" si="11"/>
        <v>0</v>
      </c>
      <c r="J136" s="224" t="s">
        <v>4</v>
      </c>
      <c r="K136" s="284"/>
      <c r="M136" s="286"/>
      <c r="N136" s="286"/>
      <c r="O136" s="286"/>
      <c r="P136" s="286"/>
      <c r="Q136" s="11"/>
      <c r="R136" s="92"/>
      <c r="S136" s="68"/>
      <c r="T136" s="47"/>
      <c r="V136" s="98">
        <f t="shared" si="12"/>
        <v>0</v>
      </c>
      <c r="W136" s="217">
        <f t="shared" si="13"/>
        <v>0</v>
      </c>
      <c r="X136" s="99">
        <f t="shared" si="14"/>
        <v>0</v>
      </c>
    </row>
    <row r="137" spans="1:24">
      <c r="A137" s="275" t="s">
        <v>318</v>
      </c>
      <c r="B137" s="224" t="s">
        <v>4</v>
      </c>
      <c r="C137" s="224" t="s">
        <v>4</v>
      </c>
      <c r="D137" s="31"/>
      <c r="E137" s="275"/>
      <c r="F137" s="31"/>
      <c r="G137" s="31"/>
      <c r="H137" s="31"/>
      <c r="I137" s="91">
        <f t="shared" si="11"/>
        <v>0</v>
      </c>
      <c r="J137" s="224" t="s">
        <v>4</v>
      </c>
      <c r="K137" s="284"/>
      <c r="M137" s="286"/>
      <c r="N137" s="286"/>
      <c r="O137" s="286"/>
      <c r="P137" s="286"/>
      <c r="Q137" s="11"/>
      <c r="R137" s="92"/>
      <c r="S137" s="68"/>
      <c r="T137" s="47"/>
      <c r="V137" s="98">
        <f t="shared" si="12"/>
        <v>0</v>
      </c>
      <c r="W137" s="217">
        <f t="shared" si="13"/>
        <v>0</v>
      </c>
      <c r="X137" s="99">
        <f t="shared" si="14"/>
        <v>0</v>
      </c>
    </row>
    <row r="138" spans="1:24">
      <c r="A138" s="275" t="s">
        <v>318</v>
      </c>
      <c r="B138" s="224" t="s">
        <v>4</v>
      </c>
      <c r="C138" s="224" t="s">
        <v>4</v>
      </c>
      <c r="D138" s="31"/>
      <c r="E138" s="275"/>
      <c r="F138" s="31"/>
      <c r="G138" s="31"/>
      <c r="H138" s="31"/>
      <c r="I138" s="91">
        <f t="shared" si="11"/>
        <v>0</v>
      </c>
      <c r="J138" s="224" t="s">
        <v>4</v>
      </c>
      <c r="K138" s="284"/>
      <c r="M138" s="286"/>
      <c r="N138" s="286"/>
      <c r="O138" s="286"/>
      <c r="P138" s="286"/>
      <c r="Q138" s="11"/>
      <c r="R138" s="92"/>
      <c r="S138" s="68"/>
      <c r="T138" s="47"/>
      <c r="V138" s="98">
        <f t="shared" si="12"/>
        <v>0</v>
      </c>
      <c r="W138" s="217">
        <f t="shared" si="13"/>
        <v>0</v>
      </c>
      <c r="X138" s="99">
        <f t="shared" si="14"/>
        <v>0</v>
      </c>
    </row>
    <row r="139" spans="1:24">
      <c r="A139" s="275" t="s">
        <v>318</v>
      </c>
      <c r="B139" s="224" t="s">
        <v>4</v>
      </c>
      <c r="C139" s="224" t="s">
        <v>4</v>
      </c>
      <c r="D139" s="31"/>
      <c r="E139" s="275"/>
      <c r="F139" s="31"/>
      <c r="G139" s="31"/>
      <c r="H139" s="31"/>
      <c r="I139" s="91">
        <f t="shared" si="11"/>
        <v>0</v>
      </c>
      <c r="J139" s="224" t="s">
        <v>4</v>
      </c>
      <c r="K139" s="284"/>
      <c r="M139" s="286"/>
      <c r="N139" s="286"/>
      <c r="O139" s="286"/>
      <c r="P139" s="286"/>
      <c r="Q139" s="11"/>
      <c r="R139" s="92"/>
      <c r="S139" s="68"/>
      <c r="T139" s="47"/>
      <c r="V139" s="98">
        <f t="shared" si="12"/>
        <v>0</v>
      </c>
      <c r="W139" s="217">
        <f t="shared" si="13"/>
        <v>0</v>
      </c>
      <c r="X139" s="99">
        <f t="shared" si="14"/>
        <v>0</v>
      </c>
    </row>
    <row r="140" spans="1:24">
      <c r="A140" s="275" t="s">
        <v>318</v>
      </c>
      <c r="B140" s="224" t="s">
        <v>4</v>
      </c>
      <c r="C140" s="224" t="s">
        <v>4</v>
      </c>
      <c r="D140" s="31"/>
      <c r="E140" s="275"/>
      <c r="F140" s="31"/>
      <c r="G140" s="31"/>
      <c r="H140" s="31"/>
      <c r="I140" s="91">
        <f t="shared" si="11"/>
        <v>0</v>
      </c>
      <c r="J140" s="224" t="s">
        <v>4</v>
      </c>
      <c r="K140" s="284"/>
      <c r="M140" s="286"/>
      <c r="N140" s="286"/>
      <c r="O140" s="286"/>
      <c r="P140" s="286"/>
      <c r="Q140" s="11"/>
      <c r="R140" s="92"/>
      <c r="S140" s="68"/>
      <c r="T140" s="47"/>
      <c r="V140" s="98">
        <f t="shared" si="12"/>
        <v>0</v>
      </c>
      <c r="W140" s="217">
        <f t="shared" si="13"/>
        <v>0</v>
      </c>
      <c r="X140" s="99">
        <f t="shared" si="14"/>
        <v>0</v>
      </c>
    </row>
    <row r="141" spans="1:24">
      <c r="A141" s="275" t="s">
        <v>318</v>
      </c>
      <c r="B141" s="224" t="s">
        <v>4</v>
      </c>
      <c r="C141" s="224" t="s">
        <v>4</v>
      </c>
      <c r="D141" s="31"/>
      <c r="E141" s="275"/>
      <c r="F141" s="31"/>
      <c r="G141" s="31"/>
      <c r="H141" s="31"/>
      <c r="I141" s="91">
        <f t="shared" si="11"/>
        <v>0</v>
      </c>
      <c r="J141" s="224" t="s">
        <v>4</v>
      </c>
      <c r="K141" s="284"/>
      <c r="M141" s="286"/>
      <c r="N141" s="286"/>
      <c r="O141" s="286"/>
      <c r="P141" s="286"/>
      <c r="Q141" s="11"/>
      <c r="R141" s="92"/>
      <c r="S141" s="68"/>
      <c r="T141" s="47"/>
      <c r="V141" s="98">
        <f t="shared" si="12"/>
        <v>0</v>
      </c>
      <c r="W141" s="217">
        <f t="shared" si="13"/>
        <v>0</v>
      </c>
      <c r="X141" s="99">
        <f t="shared" si="14"/>
        <v>0</v>
      </c>
    </row>
    <row r="142" spans="1:24">
      <c r="A142" s="275" t="s">
        <v>318</v>
      </c>
      <c r="B142" s="224" t="s">
        <v>4</v>
      </c>
      <c r="C142" s="224" t="s">
        <v>4</v>
      </c>
      <c r="D142" s="31"/>
      <c r="E142" s="275"/>
      <c r="F142" s="31"/>
      <c r="G142" s="31"/>
      <c r="H142" s="31"/>
      <c r="I142" s="91">
        <f t="shared" si="11"/>
        <v>0</v>
      </c>
      <c r="J142" s="224" t="s">
        <v>4</v>
      </c>
      <c r="K142" s="284"/>
      <c r="M142" s="286"/>
      <c r="N142" s="286"/>
      <c r="O142" s="286"/>
      <c r="P142" s="286"/>
      <c r="Q142" s="11"/>
      <c r="R142" s="92"/>
      <c r="S142" s="68"/>
      <c r="T142" s="47"/>
      <c r="V142" s="98">
        <f t="shared" si="12"/>
        <v>0</v>
      </c>
      <c r="W142" s="217">
        <f t="shared" si="13"/>
        <v>0</v>
      </c>
      <c r="X142" s="99">
        <f t="shared" si="14"/>
        <v>0</v>
      </c>
    </row>
    <row r="143" spans="1:24">
      <c r="A143" s="275" t="s">
        <v>318</v>
      </c>
      <c r="B143" s="224" t="s">
        <v>4</v>
      </c>
      <c r="C143" s="224" t="s">
        <v>4</v>
      </c>
      <c r="D143" s="31"/>
      <c r="E143" s="275"/>
      <c r="F143" s="31"/>
      <c r="G143" s="31"/>
      <c r="H143" s="31"/>
      <c r="I143" s="91">
        <f t="shared" si="11"/>
        <v>0</v>
      </c>
      <c r="J143" s="224" t="s">
        <v>4</v>
      </c>
      <c r="K143" s="284"/>
      <c r="M143" s="286"/>
      <c r="N143" s="286"/>
      <c r="O143" s="286"/>
      <c r="P143" s="286"/>
      <c r="Q143" s="11"/>
      <c r="R143" s="92"/>
      <c r="S143" s="68"/>
      <c r="T143" s="47"/>
      <c r="V143" s="98">
        <f t="shared" si="12"/>
        <v>0</v>
      </c>
      <c r="W143" s="217">
        <f t="shared" si="13"/>
        <v>0</v>
      </c>
      <c r="X143" s="99">
        <f t="shared" si="14"/>
        <v>0</v>
      </c>
    </row>
    <row r="144" spans="1:24">
      <c r="A144" s="275" t="s">
        <v>318</v>
      </c>
      <c r="B144" s="224" t="s">
        <v>4</v>
      </c>
      <c r="C144" s="224" t="s">
        <v>4</v>
      </c>
      <c r="D144" s="31"/>
      <c r="E144" s="275"/>
      <c r="F144" s="31"/>
      <c r="G144" s="31"/>
      <c r="H144" s="31"/>
      <c r="I144" s="91">
        <f t="shared" si="11"/>
        <v>0</v>
      </c>
      <c r="J144" s="224" t="s">
        <v>4</v>
      </c>
      <c r="K144" s="284"/>
      <c r="M144" s="286"/>
      <c r="N144" s="286"/>
      <c r="O144" s="286"/>
      <c r="P144" s="286"/>
      <c r="Q144" s="11"/>
      <c r="R144" s="92"/>
      <c r="S144" s="68"/>
      <c r="T144" s="47"/>
      <c r="V144" s="98">
        <f t="shared" si="12"/>
        <v>0</v>
      </c>
      <c r="W144" s="217">
        <f t="shared" si="13"/>
        <v>0</v>
      </c>
      <c r="X144" s="99">
        <f t="shared" si="14"/>
        <v>0</v>
      </c>
    </row>
    <row r="145" spans="1:24">
      <c r="A145" s="275" t="s">
        <v>318</v>
      </c>
      <c r="B145" s="224" t="s">
        <v>4</v>
      </c>
      <c r="C145" s="224" t="s">
        <v>4</v>
      </c>
      <c r="D145" s="31"/>
      <c r="E145" s="275"/>
      <c r="F145" s="31"/>
      <c r="G145" s="31"/>
      <c r="H145" s="31"/>
      <c r="I145" s="91">
        <f t="shared" si="11"/>
        <v>0</v>
      </c>
      <c r="J145" s="224" t="s">
        <v>4</v>
      </c>
      <c r="K145" s="284"/>
      <c r="M145" s="286"/>
      <c r="N145" s="286"/>
      <c r="O145" s="286"/>
      <c r="P145" s="286"/>
      <c r="Q145" s="11"/>
      <c r="R145" s="92"/>
      <c r="S145" s="68"/>
      <c r="T145" s="47"/>
      <c r="V145" s="98">
        <f t="shared" si="12"/>
        <v>0</v>
      </c>
      <c r="W145" s="217">
        <f t="shared" si="13"/>
        <v>0</v>
      </c>
      <c r="X145" s="99">
        <f t="shared" si="14"/>
        <v>0</v>
      </c>
    </row>
    <row r="146" spans="1:24">
      <c r="A146" s="275" t="s">
        <v>318</v>
      </c>
      <c r="B146" s="224" t="s">
        <v>4</v>
      </c>
      <c r="C146" s="224" t="s">
        <v>4</v>
      </c>
      <c r="D146" s="31"/>
      <c r="E146" s="275"/>
      <c r="F146" s="31"/>
      <c r="G146" s="31"/>
      <c r="H146" s="31"/>
      <c r="I146" s="91">
        <f t="shared" si="11"/>
        <v>0</v>
      </c>
      <c r="J146" s="224" t="s">
        <v>4</v>
      </c>
      <c r="K146" s="284"/>
      <c r="M146" s="286"/>
      <c r="N146" s="286"/>
      <c r="O146" s="286"/>
      <c r="P146" s="286"/>
      <c r="Q146" s="11"/>
      <c r="R146" s="92"/>
      <c r="S146" s="68"/>
      <c r="T146" s="47"/>
      <c r="V146" s="98">
        <f t="shared" si="12"/>
        <v>0</v>
      </c>
      <c r="W146" s="217">
        <f t="shared" si="13"/>
        <v>0</v>
      </c>
      <c r="X146" s="99">
        <f t="shared" si="14"/>
        <v>0</v>
      </c>
    </row>
    <row r="147" spans="1:24">
      <c r="A147" s="275" t="s">
        <v>318</v>
      </c>
      <c r="B147" s="224" t="s">
        <v>4</v>
      </c>
      <c r="C147" s="224" t="s">
        <v>4</v>
      </c>
      <c r="D147" s="31"/>
      <c r="E147" s="275"/>
      <c r="F147" s="31"/>
      <c r="G147" s="31"/>
      <c r="H147" s="31"/>
      <c r="I147" s="91">
        <f t="shared" si="11"/>
        <v>0</v>
      </c>
      <c r="J147" s="224" t="s">
        <v>4</v>
      </c>
      <c r="K147" s="284"/>
      <c r="M147" s="286"/>
      <c r="N147" s="286"/>
      <c r="O147" s="286"/>
      <c r="P147" s="286"/>
      <c r="Q147" s="11"/>
      <c r="R147" s="92"/>
      <c r="S147" s="68"/>
      <c r="T147" s="47"/>
      <c r="V147" s="98">
        <f t="shared" si="12"/>
        <v>0</v>
      </c>
      <c r="W147" s="217">
        <f t="shared" si="13"/>
        <v>0</v>
      </c>
      <c r="X147" s="99">
        <f t="shared" si="14"/>
        <v>0</v>
      </c>
    </row>
    <row r="148" spans="1:24">
      <c r="A148" s="275" t="s">
        <v>318</v>
      </c>
      <c r="B148" s="224" t="s">
        <v>4</v>
      </c>
      <c r="C148" s="224" t="s">
        <v>4</v>
      </c>
      <c r="D148" s="31"/>
      <c r="E148" s="275"/>
      <c r="F148" s="31"/>
      <c r="G148" s="31"/>
      <c r="H148" s="31"/>
      <c r="I148" s="91">
        <f t="shared" si="11"/>
        <v>0</v>
      </c>
      <c r="J148" s="224" t="s">
        <v>4</v>
      </c>
      <c r="K148" s="284"/>
      <c r="M148" s="286"/>
      <c r="N148" s="286"/>
      <c r="O148" s="286"/>
      <c r="P148" s="286"/>
      <c r="Q148" s="11"/>
      <c r="R148" s="92"/>
      <c r="S148" s="68"/>
      <c r="T148" s="47"/>
      <c r="V148" s="98">
        <f t="shared" ref="V148:V171" si="15">IF($V$12&gt;I148,0,((IF(DATEDIF($V$12,I148+1,"M")&lt;13,DATEDIF($V$12,I148+1,"M")*R148,12*R148))))</f>
        <v>0</v>
      </c>
      <c r="W148" s="217">
        <f t="shared" ref="W148:W171" si="16">IF(V148=0,0,(IF(DATEDIF($V$12,I148+1,"M")&lt;60,DATEDIF($V$12,I148+1,"M")*R148,60*R148)-V148))</f>
        <v>0</v>
      </c>
      <c r="X148" s="99">
        <f t="shared" ref="X148:X171" si="17">IF(V148=0,0,((IF(DATEDIF($V$12,I148+1,"M")&gt;60,DATEDIF($V$12,I148+1,"M")*R148-V148-W148,0))))</f>
        <v>0</v>
      </c>
    </row>
    <row r="149" spans="1:24">
      <c r="A149" s="275" t="s">
        <v>318</v>
      </c>
      <c r="B149" s="224" t="s">
        <v>4</v>
      </c>
      <c r="C149" s="224" t="s">
        <v>4</v>
      </c>
      <c r="D149" s="31"/>
      <c r="E149" s="275"/>
      <c r="F149" s="31"/>
      <c r="G149" s="31"/>
      <c r="H149" s="31"/>
      <c r="I149" s="91">
        <f t="shared" ref="I149:I171" si="18">IF(ISBLANK(K149),IF(ISBLANK(H149),G149,H149),K149)</f>
        <v>0</v>
      </c>
      <c r="J149" s="224" t="s">
        <v>4</v>
      </c>
      <c r="K149" s="284"/>
      <c r="M149" s="286"/>
      <c r="N149" s="286"/>
      <c r="O149" s="286"/>
      <c r="P149" s="286"/>
      <c r="Q149" s="11"/>
      <c r="R149" s="92"/>
      <c r="S149" s="68"/>
      <c r="T149" s="47"/>
      <c r="V149" s="98">
        <f t="shared" si="15"/>
        <v>0</v>
      </c>
      <c r="W149" s="217">
        <f t="shared" si="16"/>
        <v>0</v>
      </c>
      <c r="X149" s="99">
        <f t="shared" si="17"/>
        <v>0</v>
      </c>
    </row>
    <row r="150" spans="1:24">
      <c r="A150" s="275" t="s">
        <v>318</v>
      </c>
      <c r="B150" s="224" t="s">
        <v>4</v>
      </c>
      <c r="C150" s="224" t="s">
        <v>4</v>
      </c>
      <c r="D150" s="31"/>
      <c r="E150" s="275"/>
      <c r="F150" s="31"/>
      <c r="G150" s="31"/>
      <c r="H150" s="31"/>
      <c r="I150" s="91">
        <f t="shared" si="18"/>
        <v>0</v>
      </c>
      <c r="J150" s="224" t="s">
        <v>4</v>
      </c>
      <c r="K150" s="284"/>
      <c r="M150" s="286"/>
      <c r="N150" s="286"/>
      <c r="O150" s="286"/>
      <c r="P150" s="286"/>
      <c r="Q150" s="11"/>
      <c r="R150" s="92"/>
      <c r="S150" s="68"/>
      <c r="T150" s="47"/>
      <c r="V150" s="98">
        <f t="shared" si="15"/>
        <v>0</v>
      </c>
      <c r="W150" s="217">
        <f t="shared" si="16"/>
        <v>0</v>
      </c>
      <c r="X150" s="99">
        <f t="shared" si="17"/>
        <v>0</v>
      </c>
    </row>
    <row r="151" spans="1:24">
      <c r="A151" s="275" t="s">
        <v>318</v>
      </c>
      <c r="B151" s="224" t="s">
        <v>4</v>
      </c>
      <c r="C151" s="224" t="s">
        <v>4</v>
      </c>
      <c r="D151" s="31"/>
      <c r="E151" s="275"/>
      <c r="F151" s="31"/>
      <c r="G151" s="31"/>
      <c r="H151" s="31"/>
      <c r="I151" s="91">
        <f t="shared" si="18"/>
        <v>0</v>
      </c>
      <c r="J151" s="224" t="s">
        <v>4</v>
      </c>
      <c r="K151" s="284"/>
      <c r="M151" s="286"/>
      <c r="N151" s="286"/>
      <c r="O151" s="286"/>
      <c r="P151" s="286"/>
      <c r="Q151" s="11"/>
      <c r="R151" s="92"/>
      <c r="S151" s="68"/>
      <c r="T151" s="47"/>
      <c r="V151" s="98">
        <f t="shared" si="15"/>
        <v>0</v>
      </c>
      <c r="W151" s="217">
        <f t="shared" si="16"/>
        <v>0</v>
      </c>
      <c r="X151" s="99">
        <f t="shared" si="17"/>
        <v>0</v>
      </c>
    </row>
    <row r="152" spans="1:24">
      <c r="A152" s="275" t="s">
        <v>318</v>
      </c>
      <c r="B152" s="224" t="s">
        <v>4</v>
      </c>
      <c r="C152" s="224" t="s">
        <v>4</v>
      </c>
      <c r="D152" s="31"/>
      <c r="E152" s="275"/>
      <c r="F152" s="31"/>
      <c r="G152" s="31"/>
      <c r="H152" s="31"/>
      <c r="I152" s="91">
        <f t="shared" si="18"/>
        <v>0</v>
      </c>
      <c r="J152" s="224" t="s">
        <v>4</v>
      </c>
      <c r="K152" s="284"/>
      <c r="M152" s="286"/>
      <c r="N152" s="286"/>
      <c r="O152" s="286"/>
      <c r="P152" s="286"/>
      <c r="Q152" s="11"/>
      <c r="R152" s="92"/>
      <c r="S152" s="68"/>
      <c r="T152" s="47"/>
      <c r="V152" s="98">
        <f t="shared" si="15"/>
        <v>0</v>
      </c>
      <c r="W152" s="217">
        <f t="shared" si="16"/>
        <v>0</v>
      </c>
      <c r="X152" s="99">
        <f t="shared" si="17"/>
        <v>0</v>
      </c>
    </row>
    <row r="153" spans="1:24">
      <c r="A153" s="275" t="s">
        <v>318</v>
      </c>
      <c r="B153" s="224" t="s">
        <v>4</v>
      </c>
      <c r="C153" s="224" t="s">
        <v>4</v>
      </c>
      <c r="D153" s="31"/>
      <c r="E153" s="275"/>
      <c r="F153" s="31"/>
      <c r="G153" s="31"/>
      <c r="H153" s="31"/>
      <c r="I153" s="91">
        <f t="shared" si="18"/>
        <v>0</v>
      </c>
      <c r="J153" s="224" t="s">
        <v>4</v>
      </c>
      <c r="K153" s="284"/>
      <c r="M153" s="286"/>
      <c r="N153" s="286"/>
      <c r="O153" s="286"/>
      <c r="P153" s="286"/>
      <c r="Q153" s="11"/>
      <c r="R153" s="92"/>
      <c r="S153" s="68"/>
      <c r="T153" s="47"/>
      <c r="V153" s="98">
        <f t="shared" si="15"/>
        <v>0</v>
      </c>
      <c r="W153" s="217">
        <f t="shared" si="16"/>
        <v>0</v>
      </c>
      <c r="X153" s="99">
        <f t="shared" si="17"/>
        <v>0</v>
      </c>
    </row>
    <row r="154" spans="1:24">
      <c r="A154" s="275" t="s">
        <v>318</v>
      </c>
      <c r="B154" s="224" t="s">
        <v>4</v>
      </c>
      <c r="C154" s="224" t="s">
        <v>4</v>
      </c>
      <c r="D154" s="31"/>
      <c r="E154" s="275"/>
      <c r="F154" s="31"/>
      <c r="G154" s="31"/>
      <c r="H154" s="31"/>
      <c r="I154" s="91">
        <f t="shared" si="18"/>
        <v>0</v>
      </c>
      <c r="J154" s="224" t="s">
        <v>4</v>
      </c>
      <c r="K154" s="284"/>
      <c r="M154" s="286"/>
      <c r="N154" s="286"/>
      <c r="O154" s="286"/>
      <c r="P154" s="286"/>
      <c r="Q154" s="11"/>
      <c r="R154" s="92"/>
      <c r="S154" s="68"/>
      <c r="T154" s="47"/>
      <c r="V154" s="98">
        <f t="shared" si="15"/>
        <v>0</v>
      </c>
      <c r="W154" s="217">
        <f t="shared" si="16"/>
        <v>0</v>
      </c>
      <c r="X154" s="99">
        <f t="shared" si="17"/>
        <v>0</v>
      </c>
    </row>
    <row r="155" spans="1:24">
      <c r="A155" s="275" t="s">
        <v>318</v>
      </c>
      <c r="B155" s="224" t="s">
        <v>4</v>
      </c>
      <c r="C155" s="224" t="s">
        <v>4</v>
      </c>
      <c r="D155" s="31"/>
      <c r="E155" s="275"/>
      <c r="F155" s="31"/>
      <c r="G155" s="31"/>
      <c r="H155" s="31"/>
      <c r="I155" s="91">
        <f t="shared" si="18"/>
        <v>0</v>
      </c>
      <c r="J155" s="224" t="s">
        <v>4</v>
      </c>
      <c r="K155" s="284"/>
      <c r="M155" s="286"/>
      <c r="N155" s="286"/>
      <c r="O155" s="286"/>
      <c r="P155" s="286"/>
      <c r="Q155" s="11"/>
      <c r="R155" s="92"/>
      <c r="S155" s="68"/>
      <c r="T155" s="47"/>
      <c r="V155" s="98">
        <f t="shared" si="15"/>
        <v>0</v>
      </c>
      <c r="W155" s="217">
        <f t="shared" si="16"/>
        <v>0</v>
      </c>
      <c r="X155" s="99">
        <f t="shared" si="17"/>
        <v>0</v>
      </c>
    </row>
    <row r="156" spans="1:24">
      <c r="A156" s="275" t="s">
        <v>318</v>
      </c>
      <c r="B156" s="224" t="s">
        <v>4</v>
      </c>
      <c r="C156" s="224" t="s">
        <v>4</v>
      </c>
      <c r="D156" s="31"/>
      <c r="E156" s="275"/>
      <c r="F156" s="31"/>
      <c r="G156" s="31"/>
      <c r="H156" s="31"/>
      <c r="I156" s="91">
        <f t="shared" si="18"/>
        <v>0</v>
      </c>
      <c r="J156" s="224" t="s">
        <v>4</v>
      </c>
      <c r="K156" s="284"/>
      <c r="M156" s="286"/>
      <c r="N156" s="286"/>
      <c r="O156" s="286"/>
      <c r="P156" s="286"/>
      <c r="Q156" s="11"/>
      <c r="R156" s="92"/>
      <c r="S156" s="68"/>
      <c r="T156" s="47"/>
      <c r="V156" s="98">
        <f t="shared" si="15"/>
        <v>0</v>
      </c>
      <c r="W156" s="217">
        <f t="shared" si="16"/>
        <v>0</v>
      </c>
      <c r="X156" s="99">
        <f t="shared" si="17"/>
        <v>0</v>
      </c>
    </row>
    <row r="157" spans="1:24">
      <c r="A157" s="275" t="s">
        <v>318</v>
      </c>
      <c r="B157" s="224" t="s">
        <v>4</v>
      </c>
      <c r="C157" s="224" t="s">
        <v>4</v>
      </c>
      <c r="D157" s="31"/>
      <c r="E157" s="275"/>
      <c r="F157" s="31"/>
      <c r="G157" s="31"/>
      <c r="H157" s="31"/>
      <c r="I157" s="91">
        <f t="shared" si="18"/>
        <v>0</v>
      </c>
      <c r="J157" s="224" t="s">
        <v>4</v>
      </c>
      <c r="K157" s="284"/>
      <c r="M157" s="286"/>
      <c r="N157" s="286"/>
      <c r="O157" s="286"/>
      <c r="P157" s="286"/>
      <c r="Q157" s="11"/>
      <c r="R157" s="92"/>
      <c r="S157" s="68"/>
      <c r="T157" s="47"/>
      <c r="V157" s="98">
        <f t="shared" si="15"/>
        <v>0</v>
      </c>
      <c r="W157" s="217">
        <f t="shared" si="16"/>
        <v>0</v>
      </c>
      <c r="X157" s="99">
        <f t="shared" si="17"/>
        <v>0</v>
      </c>
    </row>
    <row r="158" spans="1:24">
      <c r="A158" s="275" t="s">
        <v>318</v>
      </c>
      <c r="B158" s="224" t="s">
        <v>4</v>
      </c>
      <c r="C158" s="224" t="s">
        <v>4</v>
      </c>
      <c r="D158" s="31"/>
      <c r="E158" s="275"/>
      <c r="F158" s="31"/>
      <c r="G158" s="31"/>
      <c r="H158" s="31"/>
      <c r="I158" s="91">
        <f t="shared" si="18"/>
        <v>0</v>
      </c>
      <c r="J158" s="224" t="s">
        <v>4</v>
      </c>
      <c r="K158" s="284"/>
      <c r="M158" s="286"/>
      <c r="N158" s="286"/>
      <c r="O158" s="286"/>
      <c r="P158" s="286"/>
      <c r="Q158" s="11"/>
      <c r="R158" s="92"/>
      <c r="S158" s="68"/>
      <c r="T158" s="47"/>
      <c r="V158" s="98">
        <f t="shared" si="15"/>
        <v>0</v>
      </c>
      <c r="W158" s="217">
        <f t="shared" si="16"/>
        <v>0</v>
      </c>
      <c r="X158" s="99">
        <f t="shared" si="17"/>
        <v>0</v>
      </c>
    </row>
    <row r="159" spans="1:24">
      <c r="A159" s="275" t="s">
        <v>318</v>
      </c>
      <c r="B159" s="224" t="s">
        <v>4</v>
      </c>
      <c r="C159" s="224" t="s">
        <v>4</v>
      </c>
      <c r="D159" s="31"/>
      <c r="E159" s="275"/>
      <c r="F159" s="31"/>
      <c r="G159" s="31"/>
      <c r="H159" s="31"/>
      <c r="I159" s="91">
        <f t="shared" si="18"/>
        <v>0</v>
      </c>
      <c r="J159" s="224" t="s">
        <v>4</v>
      </c>
      <c r="K159" s="284"/>
      <c r="M159" s="286"/>
      <c r="N159" s="286"/>
      <c r="O159" s="286"/>
      <c r="P159" s="286"/>
      <c r="Q159" s="11"/>
      <c r="R159" s="92"/>
      <c r="S159" s="68"/>
      <c r="T159" s="47"/>
      <c r="V159" s="98">
        <f t="shared" si="15"/>
        <v>0</v>
      </c>
      <c r="W159" s="217">
        <f t="shared" si="16"/>
        <v>0</v>
      </c>
      <c r="X159" s="99">
        <f t="shared" si="17"/>
        <v>0</v>
      </c>
    </row>
    <row r="160" spans="1:24">
      <c r="A160" s="275" t="s">
        <v>318</v>
      </c>
      <c r="B160" s="224" t="s">
        <v>4</v>
      </c>
      <c r="C160" s="224" t="s">
        <v>4</v>
      </c>
      <c r="D160" s="31"/>
      <c r="E160" s="275"/>
      <c r="F160" s="31"/>
      <c r="G160" s="31"/>
      <c r="H160" s="31"/>
      <c r="I160" s="91">
        <f t="shared" si="18"/>
        <v>0</v>
      </c>
      <c r="J160" s="224" t="s">
        <v>4</v>
      </c>
      <c r="K160" s="284"/>
      <c r="M160" s="286"/>
      <c r="N160" s="286"/>
      <c r="O160" s="286"/>
      <c r="P160" s="286"/>
      <c r="Q160" s="11"/>
      <c r="R160" s="92"/>
      <c r="S160" s="68"/>
      <c r="T160" s="47"/>
      <c r="V160" s="98">
        <f t="shared" si="15"/>
        <v>0</v>
      </c>
      <c r="W160" s="217">
        <f t="shared" si="16"/>
        <v>0</v>
      </c>
      <c r="X160" s="99">
        <f t="shared" si="17"/>
        <v>0</v>
      </c>
    </row>
    <row r="161" spans="1:24">
      <c r="A161" s="275" t="s">
        <v>318</v>
      </c>
      <c r="B161" s="224" t="s">
        <v>4</v>
      </c>
      <c r="C161" s="224" t="s">
        <v>4</v>
      </c>
      <c r="D161" s="31"/>
      <c r="E161" s="275"/>
      <c r="F161" s="31"/>
      <c r="G161" s="31"/>
      <c r="H161" s="31"/>
      <c r="I161" s="91">
        <f t="shared" si="18"/>
        <v>0</v>
      </c>
      <c r="J161" s="224" t="s">
        <v>4</v>
      </c>
      <c r="K161" s="284"/>
      <c r="M161" s="286"/>
      <c r="N161" s="286"/>
      <c r="O161" s="286"/>
      <c r="P161" s="286"/>
      <c r="Q161" s="11"/>
      <c r="R161" s="92"/>
      <c r="S161" s="68"/>
      <c r="T161" s="47"/>
      <c r="V161" s="98">
        <f t="shared" si="15"/>
        <v>0</v>
      </c>
      <c r="W161" s="217">
        <f t="shared" si="16"/>
        <v>0</v>
      </c>
      <c r="X161" s="99">
        <f t="shared" si="17"/>
        <v>0</v>
      </c>
    </row>
    <row r="162" spans="1:24">
      <c r="A162" s="275" t="s">
        <v>318</v>
      </c>
      <c r="B162" s="224" t="s">
        <v>4</v>
      </c>
      <c r="C162" s="224" t="s">
        <v>4</v>
      </c>
      <c r="D162" s="31"/>
      <c r="E162" s="275"/>
      <c r="F162" s="31"/>
      <c r="G162" s="31"/>
      <c r="H162" s="31"/>
      <c r="I162" s="91">
        <f t="shared" si="18"/>
        <v>0</v>
      </c>
      <c r="J162" s="224" t="s">
        <v>4</v>
      </c>
      <c r="K162" s="284"/>
      <c r="M162" s="286"/>
      <c r="N162" s="286"/>
      <c r="O162" s="286"/>
      <c r="P162" s="286"/>
      <c r="Q162" s="11"/>
      <c r="R162" s="92"/>
      <c r="S162" s="68"/>
      <c r="T162" s="47"/>
      <c r="V162" s="98">
        <f t="shared" si="15"/>
        <v>0</v>
      </c>
      <c r="W162" s="217">
        <f t="shared" si="16"/>
        <v>0</v>
      </c>
      <c r="X162" s="99">
        <f t="shared" si="17"/>
        <v>0</v>
      </c>
    </row>
    <row r="163" spans="1:24">
      <c r="A163" s="275" t="s">
        <v>318</v>
      </c>
      <c r="B163" s="224" t="s">
        <v>4</v>
      </c>
      <c r="C163" s="224" t="s">
        <v>4</v>
      </c>
      <c r="D163" s="31"/>
      <c r="E163" s="275"/>
      <c r="F163" s="31"/>
      <c r="G163" s="31"/>
      <c r="H163" s="31"/>
      <c r="I163" s="91">
        <f t="shared" si="18"/>
        <v>0</v>
      </c>
      <c r="J163" s="224" t="s">
        <v>4</v>
      </c>
      <c r="K163" s="284"/>
      <c r="M163" s="286"/>
      <c r="N163" s="286"/>
      <c r="O163" s="286"/>
      <c r="P163" s="286"/>
      <c r="Q163" s="11"/>
      <c r="R163" s="92"/>
      <c r="S163" s="68"/>
      <c r="T163" s="47"/>
      <c r="V163" s="98">
        <f t="shared" si="15"/>
        <v>0</v>
      </c>
      <c r="W163" s="217">
        <f t="shared" si="16"/>
        <v>0</v>
      </c>
      <c r="X163" s="99">
        <f t="shared" si="17"/>
        <v>0</v>
      </c>
    </row>
    <row r="164" spans="1:24">
      <c r="A164" s="275" t="s">
        <v>318</v>
      </c>
      <c r="B164" s="224" t="s">
        <v>4</v>
      </c>
      <c r="C164" s="224" t="s">
        <v>4</v>
      </c>
      <c r="D164" s="31"/>
      <c r="E164" s="275"/>
      <c r="F164" s="31"/>
      <c r="G164" s="31"/>
      <c r="H164" s="31"/>
      <c r="I164" s="91">
        <f t="shared" si="18"/>
        <v>0</v>
      </c>
      <c r="J164" s="224" t="s">
        <v>261</v>
      </c>
      <c r="K164" s="284"/>
      <c r="M164" s="31"/>
      <c r="N164" s="31"/>
      <c r="O164" s="92"/>
      <c r="P164" s="92"/>
      <c r="Q164" s="11"/>
      <c r="R164" s="92"/>
      <c r="S164" s="68"/>
      <c r="T164" s="47"/>
      <c r="V164" s="98">
        <f t="shared" si="15"/>
        <v>0</v>
      </c>
      <c r="W164" s="217">
        <f t="shared" si="16"/>
        <v>0</v>
      </c>
      <c r="X164" s="99">
        <f t="shared" si="17"/>
        <v>0</v>
      </c>
    </row>
    <row r="165" spans="1:24">
      <c r="A165" s="275" t="s">
        <v>318</v>
      </c>
      <c r="B165" s="224" t="s">
        <v>4</v>
      </c>
      <c r="C165" s="224" t="s">
        <v>4</v>
      </c>
      <c r="D165" s="31"/>
      <c r="E165" s="275"/>
      <c r="F165" s="31"/>
      <c r="G165" s="31"/>
      <c r="H165" s="31"/>
      <c r="I165" s="91">
        <f t="shared" si="18"/>
        <v>0</v>
      </c>
      <c r="J165" s="224" t="s">
        <v>261</v>
      </c>
      <c r="K165" s="284"/>
      <c r="M165" s="31"/>
      <c r="N165" s="31"/>
      <c r="O165" s="92"/>
      <c r="P165" s="92"/>
      <c r="Q165" s="11"/>
      <c r="R165" s="92"/>
      <c r="S165" s="68"/>
      <c r="T165" s="47"/>
      <c r="V165" s="98">
        <f t="shared" si="15"/>
        <v>0</v>
      </c>
      <c r="W165" s="217">
        <f t="shared" si="16"/>
        <v>0</v>
      </c>
      <c r="X165" s="99">
        <f t="shared" si="17"/>
        <v>0</v>
      </c>
    </row>
    <row r="166" spans="1:24">
      <c r="A166" s="275" t="s">
        <v>318</v>
      </c>
      <c r="B166" s="224" t="s">
        <v>4</v>
      </c>
      <c r="C166" s="224" t="s">
        <v>4</v>
      </c>
      <c r="D166" s="31"/>
      <c r="E166" s="275"/>
      <c r="F166" s="31"/>
      <c r="G166" s="31"/>
      <c r="H166" s="31"/>
      <c r="I166" s="91">
        <f t="shared" si="18"/>
        <v>0</v>
      </c>
      <c r="J166" s="224" t="s">
        <v>261</v>
      </c>
      <c r="K166" s="284"/>
      <c r="M166" s="31"/>
      <c r="N166" s="31"/>
      <c r="O166" s="92"/>
      <c r="P166" s="92"/>
      <c r="Q166" s="11"/>
      <c r="R166" s="92"/>
      <c r="S166" s="68"/>
      <c r="T166" s="47"/>
      <c r="V166" s="98">
        <f t="shared" si="15"/>
        <v>0</v>
      </c>
      <c r="W166" s="217">
        <f t="shared" si="16"/>
        <v>0</v>
      </c>
      <c r="X166" s="99">
        <f t="shared" si="17"/>
        <v>0</v>
      </c>
    </row>
    <row r="167" spans="1:24">
      <c r="A167" s="275" t="s">
        <v>318</v>
      </c>
      <c r="B167" s="224" t="s">
        <v>4</v>
      </c>
      <c r="C167" s="224" t="s">
        <v>4</v>
      </c>
      <c r="D167" s="31"/>
      <c r="E167" s="275"/>
      <c r="F167" s="31"/>
      <c r="G167" s="31"/>
      <c r="H167" s="31"/>
      <c r="I167" s="91">
        <f t="shared" si="18"/>
        <v>0</v>
      </c>
      <c r="J167" s="224" t="s">
        <v>261</v>
      </c>
      <c r="K167" s="284"/>
      <c r="M167" s="31"/>
      <c r="N167" s="31"/>
      <c r="O167" s="92"/>
      <c r="P167" s="92"/>
      <c r="Q167" s="11"/>
      <c r="R167" s="92"/>
      <c r="S167" s="68"/>
      <c r="T167" s="47"/>
      <c r="V167" s="98">
        <f t="shared" si="15"/>
        <v>0</v>
      </c>
      <c r="W167" s="217">
        <f t="shared" si="16"/>
        <v>0</v>
      </c>
      <c r="X167" s="99">
        <f t="shared" si="17"/>
        <v>0</v>
      </c>
    </row>
    <row r="168" spans="1:24">
      <c r="A168" s="275" t="s">
        <v>318</v>
      </c>
      <c r="B168" s="224" t="s">
        <v>4</v>
      </c>
      <c r="C168" s="224" t="s">
        <v>4</v>
      </c>
      <c r="D168" s="31"/>
      <c r="E168" s="275"/>
      <c r="F168" s="31"/>
      <c r="G168" s="31"/>
      <c r="H168" s="31"/>
      <c r="I168" s="91">
        <f t="shared" si="18"/>
        <v>0</v>
      </c>
      <c r="J168" s="224" t="s">
        <v>261</v>
      </c>
      <c r="K168" s="284"/>
      <c r="M168" s="31"/>
      <c r="N168" s="31"/>
      <c r="O168" s="92"/>
      <c r="P168" s="92"/>
      <c r="Q168" s="11"/>
      <c r="R168" s="92"/>
      <c r="S168" s="68"/>
      <c r="T168" s="47"/>
      <c r="V168" s="98">
        <f t="shared" si="15"/>
        <v>0</v>
      </c>
      <c r="W168" s="217">
        <f t="shared" si="16"/>
        <v>0</v>
      </c>
      <c r="X168" s="99">
        <f t="shared" si="17"/>
        <v>0</v>
      </c>
    </row>
    <row r="169" spans="1:24">
      <c r="A169" s="275" t="s">
        <v>318</v>
      </c>
      <c r="B169" s="224" t="s">
        <v>4</v>
      </c>
      <c r="C169" s="224" t="s">
        <v>4</v>
      </c>
      <c r="D169" s="31"/>
      <c r="E169" s="275"/>
      <c r="F169" s="31"/>
      <c r="G169" s="31"/>
      <c r="H169" s="31"/>
      <c r="I169" s="91">
        <f t="shared" si="18"/>
        <v>0</v>
      </c>
      <c r="J169" s="224" t="s">
        <v>261</v>
      </c>
      <c r="K169" s="284"/>
      <c r="M169" s="31"/>
      <c r="N169" s="31"/>
      <c r="O169" s="92"/>
      <c r="P169" s="92"/>
      <c r="Q169" s="11"/>
      <c r="R169" s="92"/>
      <c r="S169" s="68"/>
      <c r="T169" s="47"/>
      <c r="V169" s="98">
        <f t="shared" si="15"/>
        <v>0</v>
      </c>
      <c r="W169" s="217">
        <f t="shared" si="16"/>
        <v>0</v>
      </c>
      <c r="X169" s="99">
        <f t="shared" si="17"/>
        <v>0</v>
      </c>
    </row>
    <row r="170" spans="1:24">
      <c r="A170" s="275" t="s">
        <v>318</v>
      </c>
      <c r="B170" s="224" t="s">
        <v>4</v>
      </c>
      <c r="C170" s="224" t="s">
        <v>4</v>
      </c>
      <c r="D170" s="31"/>
      <c r="E170" s="275"/>
      <c r="F170" s="31"/>
      <c r="G170" s="31"/>
      <c r="H170" s="31"/>
      <c r="I170" s="91">
        <f t="shared" si="18"/>
        <v>0</v>
      </c>
      <c r="J170" s="224" t="s">
        <v>261</v>
      </c>
      <c r="K170" s="284"/>
      <c r="M170" s="31"/>
      <c r="N170" s="31"/>
      <c r="O170" s="92"/>
      <c r="P170" s="92"/>
      <c r="Q170" s="11"/>
      <c r="R170" s="92"/>
      <c r="S170" s="68"/>
      <c r="T170" s="47"/>
      <c r="V170" s="98">
        <f t="shared" si="15"/>
        <v>0</v>
      </c>
      <c r="W170" s="217">
        <f t="shared" si="16"/>
        <v>0</v>
      </c>
      <c r="X170" s="99">
        <f t="shared" si="17"/>
        <v>0</v>
      </c>
    </row>
    <row r="171" spans="1:24">
      <c r="A171" s="275" t="s">
        <v>318</v>
      </c>
      <c r="B171" s="224" t="s">
        <v>4</v>
      </c>
      <c r="C171" s="224" t="s">
        <v>4</v>
      </c>
      <c r="D171" s="31"/>
      <c r="E171" s="275"/>
      <c r="F171" s="31"/>
      <c r="G171" s="31"/>
      <c r="H171" s="31"/>
      <c r="I171" s="91">
        <f t="shared" si="18"/>
        <v>0</v>
      </c>
      <c r="J171" s="224" t="s">
        <v>261</v>
      </c>
      <c r="K171" s="284"/>
      <c r="M171" s="31"/>
      <c r="N171" s="31"/>
      <c r="O171" s="92"/>
      <c r="P171" s="92"/>
      <c r="Q171" s="11"/>
      <c r="R171" s="92"/>
      <c r="S171" s="68"/>
      <c r="V171" s="98">
        <f t="shared" si="15"/>
        <v>0</v>
      </c>
      <c r="W171" s="217">
        <f t="shared" si="16"/>
        <v>0</v>
      </c>
      <c r="X171" s="99">
        <f t="shared" si="17"/>
        <v>0</v>
      </c>
    </row>
    <row r="172" spans="1:24">
      <c r="V172" s="98"/>
      <c r="W172" s="217"/>
      <c r="X172" s="99"/>
    </row>
  </sheetData>
  <mergeCells count="1">
    <mergeCell ref="M19:O19"/>
  </mergeCells>
  <pageMargins left="0.7" right="0.7" top="0.75" bottom="0.75" header="0.3" footer="0.3"/>
  <pageSetup paperSize="9" orientation="portrait" r:id="rId1"/>
  <ignoredErrors>
    <ignoredError sqref="E18:E19 E166:E1048576 E1:E15" numberStoredAsText="1"/>
  </ignoredError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76FA0459-AC61-4BA2-A7C0-E5B0EF3EC6F4}">
          <x14:formula1>
            <xm:f>Start!$K$100:$K$102</xm:f>
          </x14:formula1>
          <xm:sqref>B20:B171</xm:sqref>
        </x14:dataValidation>
        <x14:dataValidation type="list" allowBlank="1" showInputMessage="1" showErrorMessage="1" xr:uid="{940EB526-C1A3-4C95-BEB6-8C9C455DDB0C}">
          <x14:formula1>
            <xm:f>Start!$L$105:$L$108</xm:f>
          </x14:formula1>
          <xm:sqref>J20:J171</xm:sqref>
        </x14:dataValidation>
        <x14:dataValidation type="list" allowBlank="1" showInputMessage="1" showErrorMessage="1" xr:uid="{6B4FCA92-4420-40A7-BAE3-5513CC3ED666}">
          <x14:formula1>
            <xm:f>Start!$K$105:$K$109</xm:f>
          </x14:formula1>
          <xm:sqref>C20:C171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490D-25A2-4497-80F3-13A9095387E0}">
  <dimension ref="A1:E26"/>
  <sheetViews>
    <sheetView showGridLines="0" workbookViewId="0">
      <selection activeCell="B23" sqref="B23"/>
    </sheetView>
  </sheetViews>
  <sheetFormatPr defaultRowHeight="14.4"/>
  <cols>
    <col min="1" max="1" width="26.77734375" bestFit="1" customWidth="1"/>
    <col min="2" max="2" width="29" customWidth="1"/>
    <col min="3" max="3" width="21.44140625" customWidth="1"/>
    <col min="4" max="4" width="2.77734375" customWidth="1"/>
    <col min="5" max="5" width="16.21875" customWidth="1"/>
  </cols>
  <sheetData>
    <row r="1" spans="1:5" ht="15.6">
      <c r="A1" s="9" t="s">
        <v>343</v>
      </c>
    </row>
    <row r="3" spans="1:5" ht="15.6">
      <c r="A3" s="9"/>
      <c r="C3" s="10"/>
    </row>
    <row r="4" spans="1:5" ht="15.6">
      <c r="A4" s="9" t="s">
        <v>229</v>
      </c>
      <c r="C4" s="10" t="str">
        <f>+Start!B3</f>
        <v>Omegapoint Malmö AB (Ink E.Syd)</v>
      </c>
      <c r="E4" t="str">
        <f>+C4</f>
        <v>Omegapoint Malmö AB (Ink E.Syd)</v>
      </c>
    </row>
    <row r="5" spans="1:5" ht="15.6">
      <c r="A5" s="9"/>
      <c r="C5" s="10"/>
    </row>
    <row r="6" spans="1:5" s="65" customFormat="1">
      <c r="A6" s="145" t="s">
        <v>228</v>
      </c>
      <c r="B6" s="145"/>
      <c r="C6" s="8" t="str">
        <f>+Start!H3</f>
        <v>2025-01--2025-12</v>
      </c>
      <c r="E6" s="8" t="str">
        <f>+Start!I3</f>
        <v>2024-01--2024-12</v>
      </c>
    </row>
    <row r="8" spans="1:5">
      <c r="A8" t="s">
        <v>230</v>
      </c>
      <c r="C8" s="17"/>
      <c r="E8" s="230"/>
    </row>
    <row r="9" spans="1:5" ht="18.600000000000001" customHeight="1">
      <c r="A9" t="s">
        <v>237</v>
      </c>
      <c r="B9" s="15"/>
      <c r="C9" s="17"/>
      <c r="E9" s="230"/>
    </row>
    <row r="10" spans="1:5" ht="18.600000000000001" customHeight="1">
      <c r="A10" t="s">
        <v>344</v>
      </c>
      <c r="B10" s="15"/>
      <c r="C10" s="17"/>
      <c r="E10" s="230"/>
    </row>
    <row r="11" spans="1:5" ht="18.600000000000001" customHeight="1">
      <c r="A11" t="s">
        <v>51</v>
      </c>
      <c r="B11" s="15"/>
      <c r="C11" s="17"/>
      <c r="E11" s="230"/>
    </row>
    <row r="13" spans="1:5">
      <c r="A13" s="75"/>
      <c r="C13" s="12">
        <f>SUM(C8:C11)</f>
        <v>0</v>
      </c>
      <c r="E13" s="12">
        <f>SUM(E8:E11)</f>
        <v>0</v>
      </c>
    </row>
    <row r="15" spans="1:5" ht="15.6">
      <c r="A15" s="9" t="s">
        <v>231</v>
      </c>
      <c r="C15" s="10"/>
      <c r="E15" s="10"/>
    </row>
    <row r="16" spans="1:5" ht="15.6">
      <c r="A16" s="9"/>
      <c r="C16" s="10"/>
      <c r="E16" s="10"/>
    </row>
    <row r="17" spans="1:5">
      <c r="A17" s="145" t="s">
        <v>21</v>
      </c>
      <c r="B17" s="145"/>
      <c r="C17" s="8" t="str">
        <f>+C6</f>
        <v>2025-01--2025-12</v>
      </c>
      <c r="E17" s="8" t="str">
        <f>+E6</f>
        <v>2024-01--2024-12</v>
      </c>
    </row>
    <row r="19" spans="1:5">
      <c r="A19" t="s">
        <v>56</v>
      </c>
      <c r="C19" s="17"/>
      <c r="E19" s="230"/>
    </row>
    <row r="20" spans="1:5">
      <c r="A20" t="s">
        <v>238</v>
      </c>
      <c r="C20" s="17"/>
      <c r="E20" s="230"/>
    </row>
    <row r="21" spans="1:5">
      <c r="A21" t="s">
        <v>345</v>
      </c>
      <c r="B21" s="15"/>
      <c r="C21" s="17"/>
      <c r="E21" s="230"/>
    </row>
    <row r="22" spans="1:5">
      <c r="A22" t="s">
        <v>51</v>
      </c>
      <c r="B22" s="15"/>
      <c r="C22" s="17"/>
      <c r="E22" s="230"/>
    </row>
    <row r="23" spans="1:5">
      <c r="B23" s="15"/>
      <c r="C23" s="17"/>
      <c r="E23" s="230"/>
    </row>
    <row r="25" spans="1:5">
      <c r="A25" s="75"/>
      <c r="C25" s="12">
        <f>SUM(C19:C23)</f>
        <v>0</v>
      </c>
      <c r="E25" s="12">
        <f>SUM(E19:E23)</f>
        <v>0</v>
      </c>
    </row>
    <row r="26" spans="1:5">
      <c r="A26" s="19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0B3D-267A-482A-86A4-DC37F21EAEDF}">
  <dimension ref="A1:S50"/>
  <sheetViews>
    <sheetView showGridLines="0" workbookViewId="0">
      <selection activeCell="H23" sqref="H23"/>
    </sheetView>
  </sheetViews>
  <sheetFormatPr defaultRowHeight="14.4"/>
  <cols>
    <col min="1" max="1" width="65" bestFit="1" customWidth="1"/>
    <col min="2" max="2" width="11.77734375" bestFit="1" customWidth="1"/>
    <col min="3" max="3" width="21.5546875" style="10" bestFit="1" customWidth="1"/>
    <col min="4" max="4" width="2.44140625" style="41" customWidth="1"/>
    <col min="5" max="5" width="5.5546875" customWidth="1"/>
    <col min="6" max="6" width="21.5546875" style="10" bestFit="1" customWidth="1"/>
    <col min="8" max="8" width="88" customWidth="1"/>
  </cols>
  <sheetData>
    <row r="1" spans="1:6" ht="15.6">
      <c r="A1" s="9" t="s">
        <v>346</v>
      </c>
    </row>
    <row r="4" spans="1:6">
      <c r="C4" s="34" t="str">
        <f>+Start!B3</f>
        <v>Omegapoint Malmö AB (Ink E.Syd)</v>
      </c>
      <c r="F4" s="34" t="str">
        <f>+Start!B3</f>
        <v>Omegapoint Malmö AB (Ink E.Syd)</v>
      </c>
    </row>
    <row r="5" spans="1:6">
      <c r="A5" s="16" t="s">
        <v>114</v>
      </c>
    </row>
    <row r="6" spans="1:6" ht="6.75" customHeight="1"/>
    <row r="7" spans="1:6">
      <c r="A7" s="7"/>
      <c r="B7" s="7"/>
      <c r="C7" s="8">
        <f>+Start!G3</f>
        <v>46022</v>
      </c>
      <c r="D7" s="124"/>
      <c r="E7" s="65"/>
      <c r="F7" s="8">
        <f>+Start!F3</f>
        <v>45657</v>
      </c>
    </row>
    <row r="8" spans="1:6" ht="15.6">
      <c r="A8" s="9"/>
      <c r="B8" s="14"/>
      <c r="C8" s="6" t="s">
        <v>21</v>
      </c>
      <c r="D8" s="124"/>
      <c r="E8" s="65"/>
      <c r="F8" s="6" t="s">
        <v>21</v>
      </c>
    </row>
    <row r="10" spans="1:6">
      <c r="A10" t="s">
        <v>115</v>
      </c>
      <c r="B10" s="15"/>
      <c r="C10" s="23">
        <v>1317409.32</v>
      </c>
      <c r="D10" s="42"/>
      <c r="E10" s="11"/>
      <c r="F10" s="237">
        <v>1522561.2</v>
      </c>
    </row>
    <row r="11" spans="1:6">
      <c r="A11" t="s">
        <v>291</v>
      </c>
      <c r="B11" s="15"/>
      <c r="C11" s="23">
        <v>69592.19</v>
      </c>
      <c r="D11" s="42"/>
      <c r="E11" s="11"/>
      <c r="F11" s="237">
        <v>64196.959999999999</v>
      </c>
    </row>
    <row r="12" spans="1:6">
      <c r="A12" t="s">
        <v>292</v>
      </c>
      <c r="B12" s="15"/>
      <c r="C12" s="23">
        <v>568831.69999999995</v>
      </c>
      <c r="D12" s="42"/>
      <c r="E12" s="11"/>
      <c r="F12" s="237">
        <v>549772.27</v>
      </c>
    </row>
    <row r="13" spans="1:6">
      <c r="A13" t="s">
        <v>293</v>
      </c>
      <c r="B13" s="15"/>
      <c r="C13" s="23">
        <v>12756.03</v>
      </c>
      <c r="D13" s="42"/>
      <c r="E13" s="11"/>
      <c r="F13" s="237">
        <v>32839.1</v>
      </c>
    </row>
    <row r="14" spans="1:6">
      <c r="A14" t="s">
        <v>294</v>
      </c>
      <c r="B14" s="15"/>
      <c r="C14" s="23"/>
      <c r="D14" s="42"/>
      <c r="E14" s="11"/>
      <c r="F14" s="237"/>
    </row>
    <row r="15" spans="1:6">
      <c r="A15" t="s">
        <v>179</v>
      </c>
      <c r="B15" s="15"/>
      <c r="C15" s="23"/>
      <c r="D15" s="42"/>
      <c r="E15" s="11"/>
      <c r="F15" s="237">
        <v>639178.80000000005</v>
      </c>
    </row>
    <row r="16" spans="1:6">
      <c r="A16" t="s">
        <v>295</v>
      </c>
      <c r="B16" s="15"/>
      <c r="C16" s="23">
        <v>456117.56</v>
      </c>
      <c r="D16" s="42"/>
      <c r="E16" s="11"/>
      <c r="F16" s="237"/>
    </row>
    <row r="17" spans="1:19">
      <c r="A17" t="s">
        <v>188</v>
      </c>
      <c r="B17" s="15"/>
      <c r="C17" s="23"/>
      <c r="D17" s="42"/>
      <c r="E17" s="11"/>
      <c r="F17" s="237"/>
    </row>
    <row r="18" spans="1:19">
      <c r="A18" t="s">
        <v>116</v>
      </c>
      <c r="B18" s="287">
        <f>+C18/C19</f>
        <v>4.8096090934155331E-2</v>
      </c>
      <c r="C18" s="46">
        <v>122511.23</v>
      </c>
      <c r="D18" s="42"/>
      <c r="E18" s="287">
        <f>+F18/F19</f>
        <v>3.3116663044717796E-2</v>
      </c>
      <c r="F18" s="238">
        <v>96195.42</v>
      </c>
    </row>
    <row r="19" spans="1:19">
      <c r="B19" s="15"/>
      <c r="C19" s="33">
        <f>SUM(C10:C18)</f>
        <v>2547218.0299999998</v>
      </c>
      <c r="D19" s="43"/>
      <c r="E19" s="12"/>
      <c r="F19" s="33">
        <f>SUM(F10:F18)</f>
        <v>2904743.75</v>
      </c>
    </row>
    <row r="20" spans="1:19">
      <c r="C20" s="24"/>
      <c r="D20" s="42"/>
      <c r="E20" s="11"/>
      <c r="F20" s="24"/>
    </row>
    <row r="21" spans="1:19">
      <c r="A21" s="4" t="s">
        <v>198</v>
      </c>
      <c r="B21" s="4"/>
      <c r="C21" s="23">
        <v>2547218.0299999998</v>
      </c>
      <c r="D21" s="42"/>
      <c r="E21" s="11"/>
      <c r="F21" s="237">
        <v>2904743.75</v>
      </c>
    </row>
    <row r="22" spans="1:19" ht="6" customHeight="1">
      <c r="C22" s="24"/>
      <c r="D22" s="42"/>
      <c r="E22" s="11"/>
      <c r="F22" s="24"/>
    </row>
    <row r="23" spans="1:19">
      <c r="A23" s="19" t="s">
        <v>81</v>
      </c>
      <c r="C23" s="35">
        <f>+C21-C19</f>
        <v>0</v>
      </c>
      <c r="D23" s="44"/>
      <c r="E23" s="12"/>
      <c r="F23" s="35">
        <f>+F21-F19</f>
        <v>0</v>
      </c>
      <c r="G23" s="16"/>
    </row>
    <row r="24" spans="1:19" ht="9" customHeight="1">
      <c r="C24" s="24"/>
      <c r="D24" s="42"/>
      <c r="E24" s="11"/>
      <c r="F24" s="24"/>
    </row>
    <row r="25" spans="1:19" ht="8.25" customHeight="1">
      <c r="C25" s="24"/>
      <c r="D25" s="42"/>
      <c r="E25" s="11"/>
      <c r="F25" s="24"/>
    </row>
    <row r="26" spans="1:19">
      <c r="A26" s="20" t="s">
        <v>117</v>
      </c>
      <c r="B26" s="4"/>
      <c r="C26" s="42"/>
      <c r="D26" s="42"/>
      <c r="E26" s="47"/>
      <c r="F26" s="42"/>
      <c r="G26" s="4"/>
      <c r="H26" s="4"/>
    </row>
    <row r="27" spans="1:19">
      <c r="C27" s="24"/>
      <c r="D27" s="42"/>
      <c r="E27" s="11"/>
      <c r="F27" s="24"/>
    </row>
    <row r="28" spans="1:19">
      <c r="A28" t="s">
        <v>118</v>
      </c>
      <c r="C28" s="24" t="s">
        <v>21</v>
      </c>
      <c r="D28" s="42"/>
      <c r="E28" s="11"/>
      <c r="F28" s="24" t="s">
        <v>21</v>
      </c>
      <c r="H28" t="s">
        <v>118</v>
      </c>
    </row>
    <row r="29" spans="1:19">
      <c r="C29" s="24"/>
      <c r="D29" s="42"/>
      <c r="E29" s="11"/>
      <c r="F29" s="24"/>
    </row>
    <row r="30" spans="1:19">
      <c r="A30" s="463"/>
      <c r="B30" s="464"/>
      <c r="C30" s="36"/>
      <c r="D30" s="42"/>
      <c r="E30" s="11"/>
      <c r="F30" s="239"/>
      <c r="G30" s="461"/>
      <c r="H30" s="462"/>
      <c r="P30" s="40"/>
      <c r="Q30" s="40"/>
      <c r="R30" s="40"/>
      <c r="S30" s="39"/>
    </row>
    <row r="31" spans="1:19">
      <c r="A31" s="457"/>
      <c r="B31" s="458"/>
      <c r="C31" s="37"/>
      <c r="D31" s="42"/>
      <c r="E31" s="11"/>
      <c r="F31" s="240"/>
      <c r="G31" s="453"/>
      <c r="H31" s="454"/>
      <c r="S31" s="21"/>
    </row>
    <row r="32" spans="1:19">
      <c r="A32" s="457"/>
      <c r="B32" s="458"/>
      <c r="C32" s="37"/>
      <c r="D32" s="42"/>
      <c r="E32" s="11"/>
      <c r="F32" s="240"/>
      <c r="G32" s="453"/>
      <c r="H32" s="454"/>
      <c r="S32" s="21"/>
    </row>
    <row r="33" spans="1:19">
      <c r="A33" s="457"/>
      <c r="B33" s="458"/>
      <c r="C33" s="37"/>
      <c r="D33" s="42"/>
      <c r="E33" s="11"/>
      <c r="F33" s="240"/>
      <c r="G33" s="453"/>
      <c r="H33" s="454"/>
      <c r="S33" s="21"/>
    </row>
    <row r="34" spans="1:19">
      <c r="A34" s="457"/>
      <c r="B34" s="458"/>
      <c r="C34" s="37"/>
      <c r="D34" s="42"/>
      <c r="E34" s="11"/>
      <c r="F34" s="240"/>
      <c r="G34" s="453"/>
      <c r="H34" s="454"/>
      <c r="S34" s="21"/>
    </row>
    <row r="35" spans="1:19">
      <c r="A35" s="457"/>
      <c r="B35" s="458"/>
      <c r="C35" s="37"/>
      <c r="D35" s="42"/>
      <c r="E35" s="11"/>
      <c r="F35" s="240"/>
      <c r="G35" s="453"/>
      <c r="H35" s="454"/>
      <c r="S35" s="21"/>
    </row>
    <row r="36" spans="1:19">
      <c r="A36" s="457"/>
      <c r="B36" s="458"/>
      <c r="C36" s="37"/>
      <c r="D36" s="42"/>
      <c r="E36" s="11"/>
      <c r="F36" s="240"/>
      <c r="G36" s="453"/>
      <c r="H36" s="454"/>
      <c r="S36" s="21"/>
    </row>
    <row r="37" spans="1:19">
      <c r="A37" s="457"/>
      <c r="B37" s="458"/>
      <c r="C37" s="37"/>
      <c r="D37" s="42"/>
      <c r="E37" s="11"/>
      <c r="F37" s="240"/>
      <c r="G37" s="453"/>
      <c r="H37" s="454"/>
      <c r="S37" s="21"/>
    </row>
    <row r="38" spans="1:19">
      <c r="A38" s="457"/>
      <c r="B38" s="458"/>
      <c r="C38" s="37"/>
      <c r="D38" s="42"/>
      <c r="E38" s="11"/>
      <c r="F38" s="240"/>
      <c r="G38" s="453"/>
      <c r="H38" s="454"/>
      <c r="S38" s="21"/>
    </row>
    <row r="39" spans="1:19">
      <c r="A39" s="457"/>
      <c r="B39" s="458"/>
      <c r="C39" s="37"/>
      <c r="D39" s="42"/>
      <c r="E39" s="11"/>
      <c r="F39" s="240"/>
      <c r="G39" s="453"/>
      <c r="H39" s="454"/>
      <c r="S39" s="21"/>
    </row>
    <row r="40" spans="1:19">
      <c r="A40" s="457"/>
      <c r="B40" s="458"/>
      <c r="C40" s="37"/>
      <c r="D40" s="42"/>
      <c r="E40" s="11"/>
      <c r="F40" s="240"/>
      <c r="G40" s="453"/>
      <c r="H40" s="454"/>
      <c r="S40" s="21"/>
    </row>
    <row r="41" spans="1:19">
      <c r="A41" s="457"/>
      <c r="B41" s="458"/>
      <c r="C41" s="37"/>
      <c r="D41" s="42"/>
      <c r="E41" s="11"/>
      <c r="F41" s="240"/>
      <c r="G41" s="453"/>
      <c r="H41" s="454"/>
      <c r="S41" s="21"/>
    </row>
    <row r="42" spans="1:19">
      <c r="A42" s="457"/>
      <c r="B42" s="458"/>
      <c r="C42" s="37"/>
      <c r="D42" s="42"/>
      <c r="E42" s="11"/>
      <c r="F42" s="240"/>
      <c r="G42" s="453"/>
      <c r="H42" s="454"/>
      <c r="S42" s="21"/>
    </row>
    <row r="43" spans="1:19">
      <c r="A43" s="457"/>
      <c r="B43" s="458"/>
      <c r="C43" s="37"/>
      <c r="D43" s="42"/>
      <c r="E43" s="11"/>
      <c r="F43" s="240"/>
      <c r="G43" s="453"/>
      <c r="H43" s="454"/>
      <c r="S43" s="21"/>
    </row>
    <row r="44" spans="1:19">
      <c r="A44" s="459"/>
      <c r="B44" s="460"/>
      <c r="C44" s="38"/>
      <c r="D44" s="42"/>
      <c r="E44" s="11"/>
      <c r="F44" s="241"/>
      <c r="G44" s="455"/>
      <c r="H44" s="456"/>
      <c r="S44" s="21"/>
    </row>
    <row r="45" spans="1:19">
      <c r="C45" s="24"/>
      <c r="D45" s="42"/>
      <c r="E45" s="11"/>
      <c r="F45" s="24"/>
    </row>
    <row r="46" spans="1:19" s="16" customFormat="1">
      <c r="A46" s="16" t="s">
        <v>74</v>
      </c>
      <c r="C46" s="33">
        <f>SUM(C30:C44)</f>
        <v>0</v>
      </c>
      <c r="D46" s="43"/>
      <c r="E46" s="12"/>
      <c r="F46" s="33">
        <f>SUM(F30:F44)</f>
        <v>0</v>
      </c>
      <c r="H46" s="12"/>
    </row>
    <row r="47" spans="1:19">
      <c r="C47" s="33"/>
      <c r="D47" s="43"/>
      <c r="E47" s="12"/>
      <c r="F47" s="33"/>
    </row>
    <row r="48" spans="1:19">
      <c r="A48" s="19" t="s">
        <v>81</v>
      </c>
      <c r="C48" s="35">
        <f>IF(B18&gt;9.99999%,+C46-C18,0)</f>
        <v>0</v>
      </c>
      <c r="D48" s="44"/>
      <c r="E48" s="12"/>
      <c r="F48" s="35">
        <f>IF(E18&gt;9.99999%,+F46-F18,0)</f>
        <v>0</v>
      </c>
    </row>
    <row r="49" spans="1:6">
      <c r="A49" s="19"/>
      <c r="C49" s="24"/>
      <c r="D49" s="42"/>
      <c r="E49" s="11"/>
      <c r="F49" s="24"/>
    </row>
    <row r="50" spans="1:6">
      <c r="C50" s="24"/>
      <c r="D50" s="42"/>
      <c r="E50" s="11"/>
      <c r="F50" s="24"/>
    </row>
  </sheetData>
  <mergeCells count="30">
    <mergeCell ref="A35:B35"/>
    <mergeCell ref="A30:B30"/>
    <mergeCell ref="A31:B31"/>
    <mergeCell ref="A32:B32"/>
    <mergeCell ref="A33:B33"/>
    <mergeCell ref="A34:B34"/>
    <mergeCell ref="A41:B41"/>
    <mergeCell ref="A42:B42"/>
    <mergeCell ref="A43:B43"/>
    <mergeCell ref="A44:B44"/>
    <mergeCell ref="G30:H30"/>
    <mergeCell ref="G31:H31"/>
    <mergeCell ref="G32:H32"/>
    <mergeCell ref="G33:H33"/>
    <mergeCell ref="G34:H34"/>
    <mergeCell ref="G35:H35"/>
    <mergeCell ref="A36:B36"/>
    <mergeCell ref="A37:B37"/>
    <mergeCell ref="A38:B38"/>
    <mergeCell ref="A39:B39"/>
    <mergeCell ref="A40:B40"/>
    <mergeCell ref="G41:H41"/>
    <mergeCell ref="G42:H42"/>
    <mergeCell ref="G43:H43"/>
    <mergeCell ref="G44:H44"/>
    <mergeCell ref="G36:H36"/>
    <mergeCell ref="G37:H37"/>
    <mergeCell ref="G38:H38"/>
    <mergeCell ref="G39:H39"/>
    <mergeCell ref="G40:H40"/>
  </mergeCells>
  <conditionalFormatting sqref="B18">
    <cfRule type="cellIs" dxfId="23" priority="1" operator="lessThan">
      <formula>0.1</formula>
    </cfRule>
    <cfRule type="cellIs" dxfId="22" priority="2" operator="lessThan">
      <formula>0.1</formula>
    </cfRule>
    <cfRule type="cellIs" dxfId="21" priority="3" operator="greaterThan">
      <formula>0.1</formula>
    </cfRule>
    <cfRule type="cellIs" dxfId="20" priority="4" operator="greaterThan">
      <formula>0.095</formula>
    </cfRule>
  </conditionalFormatting>
  <conditionalFormatting sqref="E18">
    <cfRule type="cellIs" dxfId="19" priority="5" operator="lessThan">
      <formula>0.1</formula>
    </cfRule>
    <cfRule type="cellIs" dxfId="18" priority="6" operator="lessThan">
      <formula>0.1</formula>
    </cfRule>
    <cfRule type="cellIs" dxfId="17" priority="7" operator="greaterThan">
      <formula>0.1</formula>
    </cfRule>
    <cfRule type="cellIs" dxfId="16" priority="8" operator="greaterThan">
      <formula>0.095</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465D-A997-46A8-AC04-A3EFA65CA645}">
  <dimension ref="A1:I46"/>
  <sheetViews>
    <sheetView showGridLines="0" workbookViewId="0">
      <selection activeCell="C17" sqref="C17"/>
    </sheetView>
  </sheetViews>
  <sheetFormatPr defaultRowHeight="14.4"/>
  <cols>
    <col min="1" max="1" width="56.21875" customWidth="1"/>
    <col min="2" max="2" width="10.77734375" bestFit="1" customWidth="1"/>
    <col min="3" max="3" width="21.5546875" style="10" bestFit="1" customWidth="1"/>
    <col min="4" max="4" width="5.77734375" style="41" customWidth="1"/>
    <col min="5" max="5" width="6.21875" customWidth="1"/>
    <col min="6" max="6" width="21.77734375" style="10" bestFit="1" customWidth="1"/>
    <col min="8" max="8" width="79.21875" customWidth="1"/>
  </cols>
  <sheetData>
    <row r="1" spans="1:6" ht="15.6">
      <c r="A1" s="9" t="s">
        <v>347</v>
      </c>
    </row>
    <row r="4" spans="1:6">
      <c r="B4" s="16"/>
      <c r="C4" s="34" t="str">
        <f>+Start!B3</f>
        <v>Omegapoint Malmö AB (Ink E.Syd)</v>
      </c>
      <c r="F4" s="34" t="str">
        <f>+Start!B3</f>
        <v>Omegapoint Malmö AB (Ink E.Syd)</v>
      </c>
    </row>
    <row r="5" spans="1:6">
      <c r="A5" s="16" t="s">
        <v>119</v>
      </c>
    </row>
    <row r="7" spans="1:6">
      <c r="A7" s="7"/>
      <c r="B7" s="7"/>
      <c r="C7" s="8">
        <f>+Start!G3</f>
        <v>46022</v>
      </c>
      <c r="D7" s="124"/>
      <c r="E7" s="65"/>
      <c r="F7" s="8">
        <f>+Start!F3</f>
        <v>45657</v>
      </c>
    </row>
    <row r="8" spans="1:6" ht="15.6">
      <c r="A8" s="9"/>
      <c r="B8" s="14"/>
      <c r="C8" s="125" t="s">
        <v>21</v>
      </c>
      <c r="D8" s="126"/>
      <c r="E8" s="123"/>
      <c r="F8" s="125" t="s">
        <v>21</v>
      </c>
    </row>
    <row r="9" spans="1:6">
      <c r="C9" s="24"/>
      <c r="D9" s="42"/>
      <c r="E9" s="11"/>
      <c r="F9" s="24"/>
    </row>
    <row r="10" spans="1:6">
      <c r="A10" t="s">
        <v>296</v>
      </c>
      <c r="B10" s="15"/>
      <c r="C10" s="23">
        <v>7635154.4699999997</v>
      </c>
      <c r="D10" s="42"/>
      <c r="E10" s="11"/>
      <c r="F10" s="237">
        <v>7547694.6100000003</v>
      </c>
    </row>
    <row r="11" spans="1:6">
      <c r="A11" t="s">
        <v>120</v>
      </c>
      <c r="B11" s="15"/>
      <c r="C11" s="23">
        <v>2374431.4</v>
      </c>
      <c r="D11" s="42"/>
      <c r="E11" s="11"/>
      <c r="F11" s="237">
        <v>2371484.9900000002</v>
      </c>
    </row>
    <row r="12" spans="1:6">
      <c r="A12" t="s">
        <v>297</v>
      </c>
      <c r="B12" s="15"/>
      <c r="C12" s="23"/>
      <c r="D12" s="42"/>
      <c r="E12" s="11"/>
      <c r="F12" s="237"/>
    </row>
    <row r="13" spans="1:6">
      <c r="A13" t="s">
        <v>121</v>
      </c>
      <c r="B13" s="15"/>
      <c r="C13" s="23">
        <v>510197.41</v>
      </c>
      <c r="D13" s="42"/>
      <c r="E13" s="11"/>
      <c r="F13" s="237">
        <v>388276.65</v>
      </c>
    </row>
    <row r="14" spans="1:6">
      <c r="A14" t="s">
        <v>298</v>
      </c>
      <c r="B14" s="15"/>
      <c r="C14" s="23">
        <v>32006.44</v>
      </c>
      <c r="D14" s="42"/>
      <c r="E14" s="11"/>
      <c r="F14" s="237">
        <v>22767.4</v>
      </c>
    </row>
    <row r="15" spans="1:6">
      <c r="A15" t="s">
        <v>180</v>
      </c>
      <c r="B15" s="15"/>
      <c r="C15" s="23">
        <v>70000</v>
      </c>
      <c r="D15" s="42"/>
      <c r="E15" s="11"/>
      <c r="F15" s="237">
        <v>95000</v>
      </c>
    </row>
    <row r="16" spans="1:6">
      <c r="A16" t="s">
        <v>116</v>
      </c>
      <c r="B16" s="287">
        <f>+C16/C17</f>
        <v>1.1333867736169316E-2</v>
      </c>
      <c r="C16" s="46">
        <v>121766.04</v>
      </c>
      <c r="D16" s="42"/>
      <c r="E16" s="287">
        <f>+F16/F17</f>
        <v>1.2029645199490777E-2</v>
      </c>
      <c r="F16" s="238">
        <v>126938.77</v>
      </c>
    </row>
    <row r="17" spans="1:9">
      <c r="B17" s="15"/>
      <c r="C17" s="33">
        <f>SUM(C10:C16)</f>
        <v>10743555.759999998</v>
      </c>
      <c r="D17" s="43"/>
      <c r="E17" s="12"/>
      <c r="F17" s="33">
        <f>SUM(F10:F16)</f>
        <v>10552162.420000002</v>
      </c>
    </row>
    <row r="18" spans="1:9">
      <c r="C18" s="24"/>
      <c r="D18" s="42"/>
      <c r="E18" s="11"/>
      <c r="F18" s="24"/>
    </row>
    <row r="19" spans="1:9">
      <c r="A19" s="4" t="s">
        <v>122</v>
      </c>
      <c r="B19" s="4"/>
      <c r="C19" s="23">
        <v>10743555.76</v>
      </c>
      <c r="D19" s="42"/>
      <c r="E19" s="11"/>
      <c r="F19" s="237">
        <v>10552162.42</v>
      </c>
    </row>
    <row r="20" spans="1:9">
      <c r="C20" s="24"/>
      <c r="D20" s="42"/>
      <c r="E20" s="11"/>
      <c r="F20" s="24"/>
    </row>
    <row r="21" spans="1:9">
      <c r="A21" s="19" t="s">
        <v>81</v>
      </c>
      <c r="C21" s="35">
        <f>+C19-C17</f>
        <v>0</v>
      </c>
      <c r="D21" s="44"/>
      <c r="E21" s="12"/>
      <c r="F21" s="35">
        <f>+F19-F17</f>
        <v>0</v>
      </c>
    </row>
    <row r="22" spans="1:9">
      <c r="C22" s="24"/>
      <c r="D22" s="42"/>
      <c r="E22" s="11"/>
      <c r="F22" s="24"/>
    </row>
    <row r="23" spans="1:9">
      <c r="A23" s="20" t="s">
        <v>123</v>
      </c>
      <c r="B23" s="4"/>
      <c r="C23" s="42"/>
      <c r="D23" s="42"/>
      <c r="E23" s="47"/>
      <c r="F23" s="42"/>
      <c r="G23" s="4"/>
      <c r="H23" s="4"/>
    </row>
    <row r="24" spans="1:9">
      <c r="C24" s="24"/>
      <c r="D24" s="42"/>
      <c r="E24" s="11"/>
      <c r="F24" s="24"/>
    </row>
    <row r="25" spans="1:9">
      <c r="A25" t="s">
        <v>118</v>
      </c>
      <c r="C25" s="24" t="s">
        <v>21</v>
      </c>
      <c r="D25" s="42"/>
      <c r="E25" s="11"/>
      <c r="F25" s="24" t="s">
        <v>21</v>
      </c>
      <c r="H25" t="s">
        <v>118</v>
      </c>
    </row>
    <row r="26" spans="1:9">
      <c r="C26" s="24"/>
      <c r="D26" s="42"/>
      <c r="E26" s="11"/>
      <c r="F26" s="24"/>
    </row>
    <row r="27" spans="1:9">
      <c r="A27" s="463"/>
      <c r="B27" s="464"/>
      <c r="C27" s="36"/>
      <c r="D27" s="42"/>
      <c r="E27" s="11"/>
      <c r="F27" s="242"/>
      <c r="G27" s="463"/>
      <c r="H27" s="467"/>
      <c r="I27" s="39"/>
    </row>
    <row r="28" spans="1:9">
      <c r="A28" s="457"/>
      <c r="B28" s="458"/>
      <c r="C28" s="37"/>
      <c r="D28" s="42"/>
      <c r="E28" s="11"/>
      <c r="F28" s="240"/>
      <c r="G28" s="457"/>
      <c r="H28" s="465"/>
      <c r="I28" s="21"/>
    </row>
    <row r="29" spans="1:9">
      <c r="A29" s="457"/>
      <c r="B29" s="458"/>
      <c r="C29" s="37"/>
      <c r="D29" s="42"/>
      <c r="E29" s="11"/>
      <c r="F29" s="240"/>
      <c r="G29" s="457"/>
      <c r="H29" s="465"/>
      <c r="I29" s="21"/>
    </row>
    <row r="30" spans="1:9">
      <c r="A30" s="457"/>
      <c r="B30" s="458"/>
      <c r="C30" s="37"/>
      <c r="D30" s="42"/>
      <c r="E30" s="11"/>
      <c r="F30" s="240"/>
      <c r="G30" s="457"/>
      <c r="H30" s="465"/>
      <c r="I30" s="21"/>
    </row>
    <row r="31" spans="1:9">
      <c r="A31" s="457"/>
      <c r="B31" s="458"/>
      <c r="C31" s="37"/>
      <c r="D31" s="42"/>
      <c r="E31" s="11"/>
      <c r="F31" s="240"/>
      <c r="G31" s="457"/>
      <c r="H31" s="465"/>
      <c r="I31" s="21"/>
    </row>
    <row r="32" spans="1:9">
      <c r="A32" s="457"/>
      <c r="B32" s="458"/>
      <c r="C32" s="37"/>
      <c r="D32" s="42"/>
      <c r="E32" s="11"/>
      <c r="F32" s="240"/>
      <c r="G32" s="457"/>
      <c r="H32" s="465"/>
      <c r="I32" s="21"/>
    </row>
    <row r="33" spans="1:9">
      <c r="A33" s="457"/>
      <c r="B33" s="458"/>
      <c r="C33" s="37"/>
      <c r="D33" s="42"/>
      <c r="E33" s="11"/>
      <c r="F33" s="240"/>
      <c r="G33" s="457"/>
      <c r="H33" s="465"/>
      <c r="I33" s="21"/>
    </row>
    <row r="34" spans="1:9">
      <c r="A34" s="457"/>
      <c r="B34" s="458"/>
      <c r="C34" s="37"/>
      <c r="D34" s="42"/>
      <c r="E34" s="11"/>
      <c r="F34" s="240"/>
      <c r="G34" s="457"/>
      <c r="H34" s="465"/>
      <c r="I34" s="21"/>
    </row>
    <row r="35" spans="1:9">
      <c r="A35" s="457"/>
      <c r="B35" s="458"/>
      <c r="C35" s="37"/>
      <c r="D35" s="42"/>
      <c r="E35" s="11"/>
      <c r="F35" s="240"/>
      <c r="G35" s="457"/>
      <c r="H35" s="465"/>
      <c r="I35" s="21"/>
    </row>
    <row r="36" spans="1:9">
      <c r="A36" s="457"/>
      <c r="B36" s="458"/>
      <c r="C36" s="37"/>
      <c r="D36" s="42"/>
      <c r="E36" s="11"/>
      <c r="F36" s="240"/>
      <c r="G36" s="457"/>
      <c r="H36" s="465"/>
      <c r="I36" s="21"/>
    </row>
    <row r="37" spans="1:9">
      <c r="A37" s="457"/>
      <c r="B37" s="458"/>
      <c r="C37" s="37"/>
      <c r="D37" s="42"/>
      <c r="E37" s="11"/>
      <c r="F37" s="240"/>
      <c r="G37" s="457"/>
      <c r="H37" s="465"/>
      <c r="I37" s="21"/>
    </row>
    <row r="38" spans="1:9">
      <c r="A38" s="457"/>
      <c r="B38" s="458"/>
      <c r="C38" s="37"/>
      <c r="D38" s="42"/>
      <c r="E38" s="11"/>
      <c r="F38" s="240"/>
      <c r="G38" s="457"/>
      <c r="H38" s="465"/>
      <c r="I38" s="21"/>
    </row>
    <row r="39" spans="1:9">
      <c r="A39" s="457"/>
      <c r="B39" s="458"/>
      <c r="C39" s="37"/>
      <c r="D39" s="42"/>
      <c r="E39" s="11"/>
      <c r="F39" s="240"/>
      <c r="G39" s="457"/>
      <c r="H39" s="465"/>
      <c r="I39" s="21"/>
    </row>
    <row r="40" spans="1:9">
      <c r="A40" s="457"/>
      <c r="B40" s="458"/>
      <c r="C40" s="37"/>
      <c r="D40" s="42"/>
      <c r="E40" s="11"/>
      <c r="F40" s="240"/>
      <c r="G40" s="457"/>
      <c r="H40" s="465"/>
      <c r="I40" s="21"/>
    </row>
    <row r="41" spans="1:9">
      <c r="A41" s="457"/>
      <c r="B41" s="458"/>
      <c r="C41" s="37"/>
      <c r="D41" s="42"/>
      <c r="E41" s="11"/>
      <c r="F41" s="240"/>
      <c r="G41" s="457"/>
      <c r="H41" s="465"/>
      <c r="I41" s="21"/>
    </row>
    <row r="42" spans="1:9">
      <c r="A42" s="459"/>
      <c r="B42" s="460"/>
      <c r="C42" s="38"/>
      <c r="D42" s="42"/>
      <c r="E42" s="11"/>
      <c r="F42" s="241"/>
      <c r="G42" s="459"/>
      <c r="H42" s="466"/>
      <c r="I42" s="22"/>
    </row>
    <row r="43" spans="1:9">
      <c r="C43" s="24"/>
      <c r="D43" s="42"/>
      <c r="E43" s="11"/>
      <c r="F43" s="24"/>
    </row>
    <row r="44" spans="1:9">
      <c r="A44" t="s">
        <v>74</v>
      </c>
      <c r="C44" s="33">
        <f>SUM(C27:C42)</f>
        <v>0</v>
      </c>
      <c r="D44" s="43"/>
      <c r="E44" s="12"/>
      <c r="F44" s="33">
        <f>SUM(F27:F42)</f>
        <v>0</v>
      </c>
    </row>
    <row r="45" spans="1:9">
      <c r="C45" s="33"/>
      <c r="D45" s="43"/>
      <c r="E45" s="12"/>
      <c r="F45" s="33"/>
    </row>
    <row r="46" spans="1:9">
      <c r="A46" s="19" t="s">
        <v>81</v>
      </c>
      <c r="C46" s="35">
        <f>IF(B16&gt;9.99999%,+C44-C16,0)</f>
        <v>0</v>
      </c>
      <c r="D46" s="44"/>
      <c r="E46" s="12"/>
      <c r="F46" s="35">
        <f>IF(E16&gt;9.99999%,+F44-F16,0)</f>
        <v>0</v>
      </c>
    </row>
  </sheetData>
  <mergeCells count="32">
    <mergeCell ref="A32:B32"/>
    <mergeCell ref="A27:B27"/>
    <mergeCell ref="A28:B28"/>
    <mergeCell ref="A29:B29"/>
    <mergeCell ref="A30:B30"/>
    <mergeCell ref="A31:B31"/>
    <mergeCell ref="A39:B39"/>
    <mergeCell ref="A40:B40"/>
    <mergeCell ref="A41:B41"/>
    <mergeCell ref="A42:B42"/>
    <mergeCell ref="G27:H27"/>
    <mergeCell ref="G28:H28"/>
    <mergeCell ref="G29:H29"/>
    <mergeCell ref="G30:H30"/>
    <mergeCell ref="G31:H31"/>
    <mergeCell ref="G32:H32"/>
    <mergeCell ref="A33:B33"/>
    <mergeCell ref="A34:B34"/>
    <mergeCell ref="A35:B35"/>
    <mergeCell ref="A36:B36"/>
    <mergeCell ref="A37:B37"/>
    <mergeCell ref="A38:B38"/>
    <mergeCell ref="G39:H39"/>
    <mergeCell ref="G40:H40"/>
    <mergeCell ref="G41:H41"/>
    <mergeCell ref="G42:H42"/>
    <mergeCell ref="G33:H33"/>
    <mergeCell ref="G34:H34"/>
    <mergeCell ref="G35:H35"/>
    <mergeCell ref="G36:H36"/>
    <mergeCell ref="G37:H37"/>
    <mergeCell ref="G38:H38"/>
  </mergeCells>
  <conditionalFormatting sqref="B16">
    <cfRule type="cellIs" dxfId="15" priority="1" operator="lessThan">
      <formula>0.1</formula>
    </cfRule>
    <cfRule type="cellIs" dxfId="14" priority="2" operator="lessThan">
      <formula>0.1</formula>
    </cfRule>
    <cfRule type="cellIs" dxfId="13" priority="3" operator="greaterThan">
      <formula>0.1</formula>
    </cfRule>
    <cfRule type="cellIs" dxfId="12" priority="4" operator="greaterThan">
      <formula>0.095</formula>
    </cfRule>
  </conditionalFormatting>
  <conditionalFormatting sqref="E16">
    <cfRule type="cellIs" dxfId="11" priority="5" operator="lessThan">
      <formula>0.1</formula>
    </cfRule>
    <cfRule type="cellIs" dxfId="10" priority="6" operator="lessThan">
      <formula>0.1</formula>
    </cfRule>
    <cfRule type="cellIs" dxfId="9" priority="7" operator="greaterThan">
      <formula>0.1</formula>
    </cfRule>
    <cfRule type="cellIs" dxfId="8" priority="8" operator="greaterThan">
      <formula>0.095</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6D8E-CF4E-4133-8258-7D9C95492C23}">
  <dimension ref="A1:M44"/>
  <sheetViews>
    <sheetView showGridLines="0" workbookViewId="0">
      <selection activeCell="C17" sqref="C17"/>
    </sheetView>
  </sheetViews>
  <sheetFormatPr defaultRowHeight="14.4"/>
  <cols>
    <col min="1" max="1" width="72.21875" customWidth="1"/>
    <col min="2" max="2" width="11.77734375" bestFit="1" customWidth="1"/>
    <col min="3" max="3" width="21.77734375" style="10" bestFit="1" customWidth="1"/>
    <col min="4" max="4" width="4.21875" style="41" customWidth="1"/>
    <col min="5" max="5" width="6.21875" bestFit="1" customWidth="1"/>
    <col min="6" max="6" width="21.77734375" style="10" bestFit="1" customWidth="1"/>
    <col min="7" max="7" width="10.44140625" bestFit="1" customWidth="1"/>
    <col min="8" max="8" width="55.44140625" customWidth="1"/>
  </cols>
  <sheetData>
    <row r="1" spans="1:6" ht="15.6">
      <c r="A1" s="9" t="s">
        <v>348</v>
      </c>
    </row>
    <row r="2" spans="1:6">
      <c r="E2" s="41"/>
    </row>
    <row r="3" spans="1:6">
      <c r="E3" s="41"/>
    </row>
    <row r="4" spans="1:6">
      <c r="B4" s="16"/>
      <c r="C4" s="34" t="str">
        <f>+Start!B3</f>
        <v>Omegapoint Malmö AB (Ink E.Syd)</v>
      </c>
      <c r="D4" s="45"/>
      <c r="E4" s="45"/>
      <c r="F4" s="34" t="str">
        <f>+Start!B3</f>
        <v>Omegapoint Malmö AB (Ink E.Syd)</v>
      </c>
    </row>
    <row r="5" spans="1:6">
      <c r="A5" s="96" t="s">
        <v>287</v>
      </c>
    </row>
    <row r="6" spans="1:6">
      <c r="A6" s="4"/>
    </row>
    <row r="7" spans="1:6">
      <c r="A7" s="7"/>
      <c r="B7" s="7"/>
      <c r="C7" s="8">
        <f>+Start!G3</f>
        <v>46022</v>
      </c>
      <c r="D7" s="129"/>
      <c r="E7" s="124"/>
      <c r="F7" s="8">
        <f>+Start!F3</f>
        <v>45657</v>
      </c>
    </row>
    <row r="8" spans="1:6" ht="15.6">
      <c r="A8" s="9"/>
      <c r="B8" s="14"/>
      <c r="C8" s="6" t="s">
        <v>21</v>
      </c>
      <c r="D8" s="124"/>
      <c r="E8" s="65"/>
      <c r="F8" s="6" t="s">
        <v>21</v>
      </c>
    </row>
    <row r="10" spans="1:6">
      <c r="A10" s="222" t="s">
        <v>350</v>
      </c>
      <c r="B10" s="15"/>
      <c r="C10" s="42"/>
      <c r="D10" s="42"/>
      <c r="F10" s="42"/>
    </row>
    <row r="11" spans="1:6">
      <c r="A11" s="4" t="s">
        <v>349</v>
      </c>
      <c r="B11" s="15"/>
      <c r="C11" s="23">
        <v>311</v>
      </c>
      <c r="D11" s="42"/>
      <c r="F11" s="237"/>
    </row>
    <row r="12" spans="1:6">
      <c r="A12" s="96" t="s">
        <v>181</v>
      </c>
      <c r="B12" s="15"/>
      <c r="C12" s="23">
        <v>2336</v>
      </c>
      <c r="D12" s="42"/>
      <c r="F12" s="237">
        <v>72251</v>
      </c>
    </row>
    <row r="13" spans="1:6">
      <c r="A13" t="s">
        <v>116</v>
      </c>
      <c r="B13" s="287">
        <f>+C13/C14</f>
        <v>0</v>
      </c>
      <c r="C13" s="46"/>
      <c r="D13" s="42"/>
      <c r="E13" s="287">
        <f>+F13/F14</f>
        <v>0.86051230370636367</v>
      </c>
      <c r="F13" s="238">
        <v>445723</v>
      </c>
    </row>
    <row r="14" spans="1:6">
      <c r="B14" s="15"/>
      <c r="C14" s="33">
        <f>SUM(C10:C13)</f>
        <v>2647</v>
      </c>
      <c r="D14" s="43"/>
      <c r="E14" s="16"/>
      <c r="F14" s="33">
        <f>SUM(F10:F13)</f>
        <v>517974</v>
      </c>
    </row>
    <row r="15" spans="1:6">
      <c r="C15" s="34"/>
      <c r="D15" s="45"/>
      <c r="E15" s="16"/>
      <c r="F15" s="34"/>
    </row>
    <row r="16" spans="1:6">
      <c r="A16" s="4" t="s">
        <v>286</v>
      </c>
      <c r="B16" s="4"/>
      <c r="C16" s="23">
        <v>2647</v>
      </c>
      <c r="D16" s="42"/>
      <c r="E16" s="11"/>
      <c r="F16" s="237">
        <v>517974</v>
      </c>
    </row>
    <row r="18" spans="1:13">
      <c r="A18" s="19" t="s">
        <v>81</v>
      </c>
      <c r="C18" s="35">
        <f>+C16-C14</f>
        <v>0</v>
      </c>
      <c r="D18" s="44"/>
      <c r="E18" s="16"/>
      <c r="F18" s="35">
        <f>+F16-F14</f>
        <v>0</v>
      </c>
      <c r="G18" s="16"/>
    </row>
    <row r="21" spans="1:13">
      <c r="A21" s="20" t="s">
        <v>124</v>
      </c>
      <c r="B21" s="4"/>
      <c r="C21" s="41"/>
      <c r="E21" s="4"/>
      <c r="F21" s="41"/>
    </row>
    <row r="23" spans="1:13">
      <c r="A23" t="s">
        <v>118</v>
      </c>
      <c r="C23" s="10" t="s">
        <v>21</v>
      </c>
      <c r="F23" s="10" t="s">
        <v>21</v>
      </c>
      <c r="H23" t="s">
        <v>118</v>
      </c>
    </row>
    <row r="25" spans="1:13">
      <c r="A25" s="463"/>
      <c r="B25" s="464"/>
      <c r="C25" s="25"/>
      <c r="F25" s="243">
        <v>445723</v>
      </c>
      <c r="G25" s="463" t="s">
        <v>447</v>
      </c>
      <c r="H25" s="467"/>
      <c r="I25" s="40"/>
      <c r="J25" s="40"/>
      <c r="K25" s="40"/>
      <c r="L25" s="40"/>
      <c r="M25" s="39"/>
    </row>
    <row r="26" spans="1:13">
      <c r="A26" s="457"/>
      <c r="B26" s="458"/>
      <c r="C26" s="26"/>
      <c r="F26" s="244"/>
      <c r="G26" s="457"/>
      <c r="H26" s="465"/>
      <c r="M26" s="21"/>
    </row>
    <row r="27" spans="1:13">
      <c r="A27" s="457"/>
      <c r="B27" s="458"/>
      <c r="C27" s="26"/>
      <c r="F27" s="244"/>
      <c r="G27" s="457"/>
      <c r="H27" s="465"/>
      <c r="M27" s="21"/>
    </row>
    <row r="28" spans="1:13">
      <c r="A28" s="457"/>
      <c r="B28" s="458"/>
      <c r="C28" s="26"/>
      <c r="F28" s="244"/>
      <c r="G28" s="457"/>
      <c r="H28" s="465"/>
      <c r="M28" s="21"/>
    </row>
    <row r="29" spans="1:13">
      <c r="A29" s="457"/>
      <c r="B29" s="458"/>
      <c r="C29" s="26"/>
      <c r="F29" s="244"/>
      <c r="G29" s="457"/>
      <c r="H29" s="465"/>
      <c r="M29" s="21"/>
    </row>
    <row r="30" spans="1:13">
      <c r="A30" s="457"/>
      <c r="B30" s="458"/>
      <c r="C30" s="26"/>
      <c r="F30" s="244"/>
      <c r="G30" s="457"/>
      <c r="H30" s="465"/>
      <c r="M30" s="21"/>
    </row>
    <row r="31" spans="1:13">
      <c r="A31" s="457"/>
      <c r="B31" s="458"/>
      <c r="C31" s="26"/>
      <c r="F31" s="244"/>
      <c r="G31" s="457"/>
      <c r="H31" s="465"/>
      <c r="M31" s="21"/>
    </row>
    <row r="32" spans="1:13">
      <c r="A32" s="457"/>
      <c r="B32" s="458"/>
      <c r="C32" s="26"/>
      <c r="F32" s="244"/>
      <c r="G32" s="457"/>
      <c r="H32" s="465"/>
      <c r="M32" s="21"/>
    </row>
    <row r="33" spans="1:13">
      <c r="A33" s="457"/>
      <c r="B33" s="458"/>
      <c r="C33" s="26"/>
      <c r="F33" s="244"/>
      <c r="G33" s="457"/>
      <c r="H33" s="465"/>
      <c r="M33" s="21"/>
    </row>
    <row r="34" spans="1:13">
      <c r="A34" s="457"/>
      <c r="B34" s="458"/>
      <c r="C34" s="26"/>
      <c r="F34" s="244"/>
      <c r="G34" s="457"/>
      <c r="H34" s="465"/>
      <c r="M34" s="21"/>
    </row>
    <row r="35" spans="1:13">
      <c r="A35" s="457"/>
      <c r="B35" s="458"/>
      <c r="C35" s="26"/>
      <c r="F35" s="244"/>
      <c r="G35" s="457"/>
      <c r="H35" s="465"/>
      <c r="M35" s="21"/>
    </row>
    <row r="36" spans="1:13">
      <c r="A36" s="457"/>
      <c r="B36" s="458"/>
      <c r="C36" s="26"/>
      <c r="F36" s="244"/>
      <c r="G36" s="457"/>
      <c r="H36" s="465"/>
      <c r="M36" s="21"/>
    </row>
    <row r="37" spans="1:13">
      <c r="A37" s="457"/>
      <c r="B37" s="458"/>
      <c r="C37" s="26"/>
      <c r="F37" s="244"/>
      <c r="G37" s="457"/>
      <c r="H37" s="465"/>
      <c r="M37" s="21"/>
    </row>
    <row r="38" spans="1:13">
      <c r="A38" s="457"/>
      <c r="B38" s="458"/>
      <c r="C38" s="26"/>
      <c r="F38" s="244"/>
      <c r="G38" s="457"/>
      <c r="H38" s="465"/>
      <c r="M38" s="21"/>
    </row>
    <row r="39" spans="1:13">
      <c r="A39" s="457"/>
      <c r="B39" s="458"/>
      <c r="C39" s="26"/>
      <c r="F39" s="244"/>
      <c r="G39" s="457"/>
      <c r="H39" s="465"/>
      <c r="M39" s="21"/>
    </row>
    <row r="40" spans="1:13">
      <c r="A40" s="459"/>
      <c r="B40" s="460"/>
      <c r="C40" s="27"/>
      <c r="F40" s="245"/>
      <c r="G40" s="459"/>
      <c r="H40" s="466"/>
      <c r="I40" s="7"/>
      <c r="J40" s="7"/>
      <c r="K40" s="7"/>
      <c r="L40" s="7"/>
      <c r="M40" s="22"/>
    </row>
    <row r="42" spans="1:13">
      <c r="A42" t="s">
        <v>74</v>
      </c>
      <c r="C42" s="34">
        <f>SUM(C25:C40)</f>
        <v>0</v>
      </c>
      <c r="D42" s="45"/>
      <c r="E42" s="16"/>
      <c r="F42" s="34">
        <f>SUM(F25:F40)</f>
        <v>445723</v>
      </c>
      <c r="G42" s="16"/>
    </row>
    <row r="43" spans="1:13">
      <c r="C43" s="34"/>
      <c r="D43" s="45"/>
      <c r="E43" s="16"/>
      <c r="F43" s="34"/>
      <c r="G43" s="16"/>
    </row>
    <row r="44" spans="1:13">
      <c r="A44" s="19" t="s">
        <v>81</v>
      </c>
      <c r="C44" s="35">
        <f>IF(B13&gt;9.99999%,+C42-C13,0)</f>
        <v>0</v>
      </c>
      <c r="D44" s="44"/>
      <c r="E44" s="16"/>
      <c r="F44" s="35">
        <f>IF(E13&gt;9.99999%,+F42-F13,0)</f>
        <v>0</v>
      </c>
      <c r="G44" s="16"/>
    </row>
  </sheetData>
  <mergeCells count="32">
    <mergeCell ref="A30:B30"/>
    <mergeCell ref="A25:B25"/>
    <mergeCell ref="A26:B26"/>
    <mergeCell ref="A27:B27"/>
    <mergeCell ref="A28:B28"/>
    <mergeCell ref="A29:B29"/>
    <mergeCell ref="A37:B37"/>
    <mergeCell ref="A38:B38"/>
    <mergeCell ref="A39:B39"/>
    <mergeCell ref="A40:B40"/>
    <mergeCell ref="G25:H25"/>
    <mergeCell ref="G26:H26"/>
    <mergeCell ref="G27:H27"/>
    <mergeCell ref="G28:H28"/>
    <mergeCell ref="G29:H29"/>
    <mergeCell ref="G30:H30"/>
    <mergeCell ref="A31:B31"/>
    <mergeCell ref="A32:B32"/>
    <mergeCell ref="A33:B33"/>
    <mergeCell ref="A34:B34"/>
    <mergeCell ref="A35:B35"/>
    <mergeCell ref="A36:B36"/>
    <mergeCell ref="G37:H37"/>
    <mergeCell ref="G38:H38"/>
    <mergeCell ref="G39:H39"/>
    <mergeCell ref="G40:H40"/>
    <mergeCell ref="G31:H31"/>
    <mergeCell ref="G32:H32"/>
    <mergeCell ref="G33:H33"/>
    <mergeCell ref="G34:H34"/>
    <mergeCell ref="G35:H35"/>
    <mergeCell ref="G36:H36"/>
  </mergeCells>
  <conditionalFormatting sqref="B13">
    <cfRule type="cellIs" dxfId="7" priority="1" operator="lessThan">
      <formula>0.1</formula>
    </cfRule>
    <cfRule type="cellIs" dxfId="6" priority="2" operator="lessThan">
      <formula>0.1</formula>
    </cfRule>
    <cfRule type="cellIs" dxfId="5" priority="3" operator="greaterThan">
      <formula>0.1</formula>
    </cfRule>
    <cfRule type="cellIs" dxfId="4" priority="4" operator="greaterThan">
      <formula>0.095</formula>
    </cfRule>
  </conditionalFormatting>
  <conditionalFormatting sqref="E13">
    <cfRule type="cellIs" dxfId="3" priority="5" operator="lessThan">
      <formula>0.1</formula>
    </cfRule>
    <cfRule type="cellIs" dxfId="2" priority="6" operator="lessThan">
      <formula>0.1</formula>
    </cfRule>
    <cfRule type="cellIs" dxfId="1" priority="7" operator="greaterThan">
      <formula>0.1</formula>
    </cfRule>
    <cfRule type="cellIs" dxfId="0" priority="8" operator="greaterThan">
      <formula>0.095</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05FA-F5A5-49A0-8839-A6DE77910642}">
  <dimension ref="A1:G17"/>
  <sheetViews>
    <sheetView showGridLines="0" workbookViewId="0">
      <selection activeCell="C21" sqref="C21"/>
    </sheetView>
  </sheetViews>
  <sheetFormatPr defaultRowHeight="14.4"/>
  <cols>
    <col min="1" max="1" width="72.21875" customWidth="1"/>
    <col min="2" max="2" width="6.44140625" customWidth="1"/>
    <col min="3" max="3" width="21.77734375" style="10" bestFit="1" customWidth="1"/>
    <col min="4" max="4" width="4.21875" style="41" customWidth="1"/>
    <col min="5" max="5" width="5.44140625" customWidth="1"/>
    <col min="6" max="6" width="21.77734375" style="10" bestFit="1" customWidth="1"/>
    <col min="7" max="7" width="10.44140625" bestFit="1" customWidth="1"/>
    <col min="8" max="8" width="55.44140625" customWidth="1"/>
  </cols>
  <sheetData>
    <row r="1" spans="1:6" ht="15.6">
      <c r="A1" s="9" t="s">
        <v>352</v>
      </c>
    </row>
    <row r="2" spans="1:6">
      <c r="A2" t="s">
        <v>353</v>
      </c>
      <c r="E2" s="41"/>
    </row>
    <row r="3" spans="1:6">
      <c r="E3" s="41"/>
    </row>
    <row r="4" spans="1:6">
      <c r="B4" s="16"/>
      <c r="C4" s="34" t="str">
        <f>+Start!B3</f>
        <v>Omegapoint Malmö AB (Ink E.Syd)</v>
      </c>
      <c r="D4" s="45"/>
      <c r="E4" s="45"/>
      <c r="F4" s="34" t="str">
        <f>+Start!B3</f>
        <v>Omegapoint Malmö AB (Ink E.Syd)</v>
      </c>
    </row>
    <row r="5" spans="1:6">
      <c r="A5" s="96" t="s">
        <v>354</v>
      </c>
    </row>
    <row r="6" spans="1:6">
      <c r="A6" s="4"/>
    </row>
    <row r="7" spans="1:6">
      <c r="A7" s="7"/>
      <c r="B7" s="7"/>
      <c r="C7" s="8">
        <f>+Start!G3</f>
        <v>46022</v>
      </c>
      <c r="D7" s="129"/>
      <c r="E7" s="124"/>
      <c r="F7" s="8">
        <f>+Start!F3</f>
        <v>45657</v>
      </c>
    </row>
    <row r="8" spans="1:6" ht="15.6">
      <c r="A8" s="9"/>
      <c r="B8" s="14"/>
      <c r="C8" s="6" t="s">
        <v>21</v>
      </c>
      <c r="D8" s="124"/>
      <c r="E8" s="65"/>
      <c r="F8" s="6" t="s">
        <v>21</v>
      </c>
    </row>
    <row r="10" spans="1:6">
      <c r="A10" s="96" t="s">
        <v>241</v>
      </c>
      <c r="B10" s="15"/>
      <c r="C10" s="23">
        <v>19024344.670000002</v>
      </c>
      <c r="D10" s="42"/>
      <c r="F10" s="305">
        <v>15059732</v>
      </c>
    </row>
    <row r="11" spans="1:6">
      <c r="A11" s="4"/>
      <c r="B11" s="15"/>
      <c r="C11" s="23"/>
      <c r="D11" s="42"/>
      <c r="F11" s="237"/>
    </row>
    <row r="12" spans="1:6">
      <c r="B12" s="15"/>
      <c r="C12" s="46"/>
      <c r="D12" s="42"/>
      <c r="F12" s="238"/>
    </row>
    <row r="13" spans="1:6">
      <c r="B13" s="15"/>
      <c r="C13" s="33">
        <f>SUM(C10:C12)</f>
        <v>19024344.670000002</v>
      </c>
      <c r="D13" s="43"/>
      <c r="E13" s="16"/>
      <c r="F13" s="33">
        <f>SUM(F10:F12)</f>
        <v>15059732</v>
      </c>
    </row>
    <row r="14" spans="1:6">
      <c r="C14" s="34"/>
      <c r="D14" s="45"/>
      <c r="E14" s="16"/>
      <c r="F14" s="34"/>
    </row>
    <row r="15" spans="1:6">
      <c r="A15" s="4" t="s">
        <v>286</v>
      </c>
      <c r="B15" s="4"/>
      <c r="C15" s="23">
        <v>19024344.670000002</v>
      </c>
      <c r="D15" s="42"/>
      <c r="E15" s="11"/>
      <c r="F15" s="237">
        <v>15059732</v>
      </c>
    </row>
    <row r="17" spans="1:7">
      <c r="A17" s="19" t="s">
        <v>81</v>
      </c>
      <c r="C17" s="35">
        <f>+C15-C13</f>
        <v>0</v>
      </c>
      <c r="D17" s="44"/>
      <c r="E17" s="16"/>
      <c r="F17" s="35">
        <f>+F15-F13</f>
        <v>0</v>
      </c>
      <c r="G17" s="1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DF96-C174-433B-9A78-8200AC072DC2}">
  <dimension ref="A1:E35"/>
  <sheetViews>
    <sheetView showGridLines="0" workbookViewId="0">
      <selection activeCell="C1" sqref="C1:C1048576"/>
    </sheetView>
  </sheetViews>
  <sheetFormatPr defaultRowHeight="14.4"/>
  <cols>
    <col min="1" max="1" width="65" bestFit="1" customWidth="1"/>
    <col min="2" max="2" width="6.44140625" customWidth="1"/>
    <col min="3" max="3" width="21.77734375" style="10" bestFit="1" customWidth="1"/>
    <col min="4" max="4" width="4.21875" style="41" customWidth="1"/>
    <col min="5" max="5" width="21.77734375" style="10" bestFit="1" customWidth="1"/>
    <col min="6" max="6" width="5" customWidth="1"/>
    <col min="7" max="7" width="3.77734375" customWidth="1"/>
  </cols>
  <sheetData>
    <row r="1" spans="1:5" ht="15.6">
      <c r="A1" s="9" t="s">
        <v>355</v>
      </c>
      <c r="C1" s="34" t="str">
        <f>+Start!B3</f>
        <v>Omegapoint Malmö AB (Ink E.Syd)</v>
      </c>
      <c r="D1" s="45"/>
      <c r="E1" s="34" t="str">
        <f>+C1</f>
        <v>Omegapoint Malmö AB (Ink E.Syd)</v>
      </c>
    </row>
    <row r="2" spans="1:5" ht="15.6">
      <c r="A2" s="9" t="s">
        <v>320</v>
      </c>
    </row>
    <row r="4" spans="1:5">
      <c r="B4" s="16"/>
    </row>
    <row r="5" spans="1:5">
      <c r="A5" s="16"/>
    </row>
    <row r="7" spans="1:5">
      <c r="A7" s="7"/>
      <c r="B7" s="7"/>
      <c r="C7" s="8">
        <f>+Start!G3</f>
        <v>46022</v>
      </c>
      <c r="D7" s="129"/>
      <c r="E7" s="8">
        <f>+Start!F3</f>
        <v>45657</v>
      </c>
    </row>
    <row r="8" spans="1:5" ht="15.6">
      <c r="A8" s="9"/>
      <c r="B8" s="14"/>
      <c r="C8" s="6" t="s">
        <v>21</v>
      </c>
      <c r="D8" s="124"/>
      <c r="E8" s="6" t="s">
        <v>21</v>
      </c>
    </row>
    <row r="10" spans="1:5">
      <c r="A10" s="65" t="s">
        <v>307</v>
      </c>
      <c r="B10" s="15"/>
      <c r="C10" s="33"/>
      <c r="D10" s="43"/>
      <c r="E10" s="33"/>
    </row>
    <row r="11" spans="1:5" ht="17.25" customHeight="1">
      <c r="B11" s="15"/>
      <c r="C11" s="33"/>
      <c r="D11" s="43"/>
      <c r="E11" s="33"/>
    </row>
    <row r="12" spans="1:5">
      <c r="A12" s="181" t="s">
        <v>304</v>
      </c>
      <c r="B12" s="53"/>
      <c r="C12" s="194"/>
      <c r="E12" s="194"/>
    </row>
    <row r="13" spans="1:5">
      <c r="A13" t="s">
        <v>207</v>
      </c>
      <c r="B13" s="15"/>
      <c r="C13" s="23">
        <f>89157901</f>
        <v>89157901</v>
      </c>
      <c r="E13" s="237">
        <v>41217070</v>
      </c>
    </row>
    <row r="14" spans="1:5">
      <c r="A14" t="s">
        <v>208</v>
      </c>
      <c r="B14" s="15"/>
      <c r="C14" s="23">
        <v>-70354133</v>
      </c>
      <c r="E14" s="237">
        <v>-26191338</v>
      </c>
    </row>
    <row r="15" spans="1:5">
      <c r="A15" s="16" t="s">
        <v>74</v>
      </c>
      <c r="C15" s="33">
        <f>SUM(C13:C14)</f>
        <v>18803768</v>
      </c>
      <c r="E15" s="33">
        <f>SUM(E13:E14)</f>
        <v>15025732</v>
      </c>
    </row>
    <row r="16" spans="1:5">
      <c r="A16" s="16"/>
      <c r="C16" s="33"/>
      <c r="E16" s="33"/>
    </row>
    <row r="17" spans="1:5">
      <c r="A17" s="16"/>
    </row>
    <row r="18" spans="1:5">
      <c r="A18" s="65" t="s">
        <v>205</v>
      </c>
      <c r="B18" s="15"/>
      <c r="C18" s="33"/>
      <c r="E18" s="33"/>
    </row>
    <row r="19" spans="1:5" ht="12" customHeight="1">
      <c r="B19" s="15"/>
      <c r="C19" s="33"/>
      <c r="E19" s="33"/>
    </row>
    <row r="20" spans="1:5">
      <c r="A20" s="181" t="s">
        <v>305</v>
      </c>
      <c r="B20" s="53"/>
      <c r="C20" s="194"/>
      <c r="E20" s="194"/>
    </row>
    <row r="21" spans="1:5">
      <c r="A21" t="s">
        <v>210</v>
      </c>
      <c r="B21" s="15"/>
      <c r="C21" s="23"/>
      <c r="E21" s="237"/>
    </row>
    <row r="22" spans="1:5">
      <c r="A22" t="s">
        <v>209</v>
      </c>
      <c r="B22" s="15"/>
      <c r="C22" s="23"/>
      <c r="E22" s="237"/>
    </row>
    <row r="23" spans="1:5">
      <c r="A23" s="16" t="s">
        <v>74</v>
      </c>
      <c r="C23" s="33">
        <f>SUM(C21:C22)</f>
        <v>0</v>
      </c>
      <c r="E23" s="33">
        <f>SUM(E21:E22)</f>
        <v>0</v>
      </c>
    </row>
    <row r="25" spans="1:5">
      <c r="A25" s="65"/>
    </row>
    <row r="26" spans="1:5">
      <c r="A26" s="297" t="s">
        <v>322</v>
      </c>
      <c r="B26" s="290"/>
      <c r="C26" s="291"/>
      <c r="D26" s="289"/>
      <c r="E26" s="291"/>
    </row>
    <row r="27" spans="1:5">
      <c r="A27" s="78" t="s">
        <v>302</v>
      </c>
      <c r="B27" s="292"/>
      <c r="C27" s="293"/>
      <c r="D27" s="294"/>
      <c r="E27" s="295"/>
    </row>
    <row r="28" spans="1:5">
      <c r="A28" s="78" t="s">
        <v>303</v>
      </c>
      <c r="B28" s="292"/>
      <c r="C28" s="293"/>
      <c r="D28" s="294"/>
      <c r="E28" s="295"/>
    </row>
    <row r="29" spans="1:5">
      <c r="A29" s="75"/>
      <c r="B29" s="292"/>
      <c r="C29" s="35"/>
      <c r="D29" s="44"/>
      <c r="E29" s="35"/>
    </row>
    <row r="33" spans="1:1">
      <c r="A33" s="11">
        <f>18837655-24711</f>
        <v>18812944</v>
      </c>
    </row>
    <row r="34" spans="1:1">
      <c r="A34" s="11">
        <f>-C15</f>
        <v>-18803768</v>
      </c>
    </row>
    <row r="35" spans="1:1">
      <c r="A35">
        <f>SUM(A33:A34)</f>
        <v>9176</v>
      </c>
    </row>
  </sheetData>
  <pageMargins left="0.7" right="0.7" top="0.75" bottom="0.75" header="0.3" footer="0.3"/>
  <pageSetup paperSize="9" orientation="portrait" horizontalDpi="300" verticalDpi="3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0070E-FE4F-451C-AB5A-0743C4660B67}">
  <dimension ref="A1:E24"/>
  <sheetViews>
    <sheetView showGridLines="0" workbookViewId="0">
      <selection activeCell="S24" sqref="S24"/>
    </sheetView>
  </sheetViews>
  <sheetFormatPr defaultRowHeight="14.4"/>
  <cols>
    <col min="1" max="1" width="26.77734375" bestFit="1" customWidth="1"/>
    <col min="2" max="2" width="23.21875" customWidth="1"/>
    <col min="3" max="3" width="21.5546875" bestFit="1" customWidth="1"/>
    <col min="5" max="5" width="21.5546875" bestFit="1" customWidth="1"/>
  </cols>
  <sheetData>
    <row r="1" spans="1:5" ht="15.6">
      <c r="A1" s="9" t="s">
        <v>356</v>
      </c>
      <c r="C1" s="16" t="str">
        <f>+Start!B3</f>
        <v>Omegapoint Malmö AB (Ink E.Syd)</v>
      </c>
      <c r="D1" s="16"/>
      <c r="E1" s="16" t="str">
        <f>+C1</f>
        <v>Omegapoint Malmö AB (Ink E.Syd)</v>
      </c>
    </row>
    <row r="3" spans="1:5" ht="15.6">
      <c r="A3" s="9"/>
      <c r="C3" s="10"/>
      <c r="E3" s="10"/>
    </row>
    <row r="4" spans="1:5" ht="15.6">
      <c r="A4" s="9"/>
      <c r="C4" s="10"/>
      <c r="E4" s="10"/>
    </row>
    <row r="5" spans="1:5" s="65" customFormat="1">
      <c r="A5" s="145" t="s">
        <v>228</v>
      </c>
      <c r="B5" s="145"/>
      <c r="C5" s="8">
        <f>+Start!G3</f>
        <v>46022</v>
      </c>
      <c r="D5" s="145"/>
      <c r="E5" s="8">
        <f>+Start!F3</f>
        <v>45657</v>
      </c>
    </row>
    <row r="6" spans="1:5">
      <c r="A6" t="s">
        <v>184</v>
      </c>
    </row>
    <row r="7" spans="1:5">
      <c r="A7" t="s">
        <v>204</v>
      </c>
      <c r="C7" s="17"/>
      <c r="E7" s="230"/>
    </row>
    <row r="8" spans="1:5" ht="18.600000000000001" customHeight="1">
      <c r="A8" t="s">
        <v>203</v>
      </c>
      <c r="B8" s="15"/>
      <c r="C8" s="17"/>
      <c r="D8" s="15"/>
      <c r="E8" s="230"/>
    </row>
    <row r="9" spans="1:5" ht="18.600000000000001" customHeight="1">
      <c r="A9" t="s">
        <v>185</v>
      </c>
      <c r="B9" s="15"/>
      <c r="C9" s="17"/>
      <c r="D9" s="15"/>
      <c r="E9" s="230">
        <v>1050.44</v>
      </c>
    </row>
    <row r="10" spans="1:5" ht="18.600000000000001" customHeight="1">
      <c r="A10" t="s">
        <v>186</v>
      </c>
      <c r="B10" s="15"/>
      <c r="C10" s="17">
        <v>704582.81</v>
      </c>
      <c r="D10" s="15"/>
      <c r="E10" s="230">
        <v>-2778651.53</v>
      </c>
    </row>
    <row r="12" spans="1:5">
      <c r="A12" s="75"/>
      <c r="C12" s="12">
        <f>SUM(C7:C10)</f>
        <v>704582.81</v>
      </c>
      <c r="D12" s="16"/>
      <c r="E12" s="12">
        <f>SUM(E7:E10)</f>
        <v>-2777601.09</v>
      </c>
    </row>
    <row r="14" spans="1:5">
      <c r="A14" t="s">
        <v>211</v>
      </c>
    </row>
    <row r="15" spans="1:5">
      <c r="A15" s="106"/>
      <c r="B15" s="4"/>
      <c r="C15" s="4"/>
    </row>
    <row r="16" spans="1:5">
      <c r="A16" s="106"/>
      <c r="B16" s="4"/>
      <c r="C16" s="4"/>
    </row>
    <row r="17" spans="1:3">
      <c r="A17" s="106"/>
      <c r="B17" s="4"/>
      <c r="C17" s="4"/>
    </row>
    <row r="18" spans="1:3">
      <c r="B18" s="4"/>
      <c r="C18" s="4"/>
    </row>
    <row r="24" spans="1:3">
      <c r="A24" s="195" t="s">
        <v>212</v>
      </c>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D577-BBA8-45EC-9A4D-C9107A29BC4E}">
  <dimension ref="A1:AW46"/>
  <sheetViews>
    <sheetView showGridLines="0" topLeftCell="A19" workbookViewId="0">
      <selection activeCell="B21" sqref="B21"/>
    </sheetView>
  </sheetViews>
  <sheetFormatPr defaultRowHeight="14.4"/>
  <cols>
    <col min="1" max="1" width="55.77734375" customWidth="1"/>
    <col min="2" max="2" width="17" customWidth="1"/>
    <col min="3" max="3" width="25.77734375" customWidth="1"/>
    <col min="4" max="4" width="19.77734375" bestFit="1" customWidth="1"/>
    <col min="5" max="5" width="12.5546875" bestFit="1" customWidth="1"/>
    <col min="6" max="7" width="12.5546875" style="4" customWidth="1"/>
    <col min="8" max="8" width="3.5546875" style="4" customWidth="1"/>
    <col min="9" max="9" width="19" style="4" customWidth="1"/>
    <col min="10" max="10" width="23" style="4" customWidth="1"/>
    <col min="11" max="11" width="17.44140625" style="4" customWidth="1"/>
    <col min="12" max="49" width="9.21875" style="4"/>
  </cols>
  <sheetData>
    <row r="1" spans="1:49" ht="18">
      <c r="A1" s="9" t="s">
        <v>357</v>
      </c>
      <c r="B1" s="260" t="str">
        <f>+Start!B3</f>
        <v>Omegapoint Malmö AB (Ink E.Syd)</v>
      </c>
      <c r="C1" s="261"/>
      <c r="D1" s="262"/>
      <c r="E1" s="262"/>
    </row>
    <row r="2" spans="1:49">
      <c r="A2" s="468"/>
      <c r="B2" s="468"/>
      <c r="C2" s="468"/>
      <c r="D2" s="468"/>
      <c r="E2" s="468"/>
    </row>
    <row r="3" spans="1:49" ht="18">
      <c r="A3" s="110"/>
      <c r="B3" s="469"/>
      <c r="C3" s="469"/>
      <c r="D3" s="468"/>
      <c r="E3" s="468"/>
    </row>
    <row r="4" spans="1:49" ht="18">
      <c r="F4" s="159"/>
      <c r="G4" s="159"/>
      <c r="I4" s="448" t="s">
        <v>125</v>
      </c>
      <c r="J4" s="448"/>
      <c r="K4" s="448"/>
    </row>
    <row r="5" spans="1:49" ht="18">
      <c r="A5" s="110"/>
      <c r="B5" s="469"/>
      <c r="C5" s="469"/>
      <c r="D5" s="468"/>
      <c r="E5" s="468"/>
    </row>
    <row r="6" spans="1:49">
      <c r="A6" s="468"/>
      <c r="B6" s="468"/>
      <c r="C6" s="468"/>
      <c r="D6" s="468"/>
      <c r="E6" s="468"/>
    </row>
    <row r="7" spans="1:49">
      <c r="A7" s="468"/>
      <c r="B7" s="468"/>
      <c r="C7" s="468"/>
      <c r="D7" s="468"/>
      <c r="E7" s="468"/>
      <c r="I7" s="77"/>
      <c r="J7" s="77"/>
    </row>
    <row r="8" spans="1:49" ht="31.2">
      <c r="A8" s="265" t="s">
        <v>11</v>
      </c>
      <c r="B8" s="266" t="s">
        <v>200</v>
      </c>
      <c r="C8" s="266" t="s">
        <v>285</v>
      </c>
      <c r="D8" s="266" t="s">
        <v>126</v>
      </c>
      <c r="E8" s="266" t="s">
        <v>127</v>
      </c>
      <c r="F8" s="160"/>
      <c r="G8" s="160"/>
      <c r="I8" s="167" t="str">
        <f>+B8</f>
        <v>Goodwill (Fusion/inkråm)</v>
      </c>
      <c r="J8" s="168" t="str">
        <f>+C8</f>
        <v>Balanserade utgifter för utvecklingsarbete</v>
      </c>
      <c r="K8" s="168" t="str">
        <f>+D8</f>
        <v>Övriga immateriella tillgångar</v>
      </c>
    </row>
    <row r="9" spans="1:49" ht="15.6">
      <c r="A9" s="265" t="s">
        <v>0</v>
      </c>
      <c r="B9" s="267">
        <f>+Start!G3</f>
        <v>46022</v>
      </c>
      <c r="C9" s="267">
        <f>+B9</f>
        <v>46022</v>
      </c>
      <c r="D9" s="267">
        <f>+B9</f>
        <v>46022</v>
      </c>
      <c r="E9" s="267">
        <f>+D9</f>
        <v>46022</v>
      </c>
      <c r="F9" s="161"/>
      <c r="G9" s="161"/>
    </row>
    <row r="10" spans="1:49" s="3" customFormat="1" ht="15.6">
      <c r="A10" s="114" t="s">
        <v>128</v>
      </c>
      <c r="B10" s="196" t="s">
        <v>21</v>
      </c>
      <c r="C10" s="196" t="s">
        <v>21</v>
      </c>
      <c r="D10" s="196" t="s">
        <v>21</v>
      </c>
      <c r="E10" s="115"/>
      <c r="F10" s="162"/>
      <c r="G10" s="162"/>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row>
    <row r="11" spans="1:49" ht="15.6">
      <c r="A11" s="152" t="s">
        <v>129</v>
      </c>
      <c r="B11" s="246">
        <v>37751277.909999996</v>
      </c>
      <c r="C11" s="246">
        <v>0</v>
      </c>
      <c r="D11" s="246">
        <v>0</v>
      </c>
      <c r="E11" s="116">
        <f>SUM(B11:D11)</f>
        <v>37751277.909999996</v>
      </c>
      <c r="F11" s="163"/>
      <c r="G11" s="163"/>
      <c r="H11" s="47"/>
      <c r="I11" s="77"/>
      <c r="J11" s="77"/>
      <c r="K11" s="77"/>
    </row>
    <row r="12" spans="1:49" ht="15.6">
      <c r="A12" s="111" t="s">
        <v>130</v>
      </c>
      <c r="B12" s="197"/>
      <c r="C12" s="197"/>
      <c r="D12" s="197"/>
      <c r="E12" s="116">
        <f t="shared" ref="E12:E16" si="0">SUM(B12:D12)</f>
        <v>0</v>
      </c>
      <c r="F12" s="163"/>
      <c r="G12" s="163"/>
      <c r="H12" s="47"/>
      <c r="I12" s="166">
        <f>+B12+B21</f>
        <v>0</v>
      </c>
      <c r="J12" s="156">
        <f>+C12+C21</f>
        <v>0</v>
      </c>
      <c r="K12" s="156">
        <f>+D12+D21</f>
        <v>0</v>
      </c>
    </row>
    <row r="13" spans="1:49" ht="15.6">
      <c r="A13" s="111" t="s">
        <v>131</v>
      </c>
      <c r="B13" s="197"/>
      <c r="C13" s="197"/>
      <c r="D13" s="197"/>
      <c r="E13" s="116">
        <f t="shared" si="0"/>
        <v>0</v>
      </c>
      <c r="F13" s="163"/>
      <c r="G13" s="163"/>
      <c r="H13" s="47"/>
    </row>
    <row r="14" spans="1:49" ht="15.6">
      <c r="A14" s="111" t="s">
        <v>132</v>
      </c>
      <c r="B14" s="197"/>
      <c r="C14" s="197"/>
      <c r="D14" s="197"/>
      <c r="E14" s="116">
        <f t="shared" si="0"/>
        <v>0</v>
      </c>
      <c r="F14" s="163"/>
      <c r="G14" s="163"/>
      <c r="H14" s="47"/>
    </row>
    <row r="15" spans="1:49" ht="15.6">
      <c r="A15" s="111" t="s">
        <v>133</v>
      </c>
      <c r="B15" s="197"/>
      <c r="C15" s="197"/>
      <c r="D15" s="197"/>
      <c r="E15" s="116">
        <f t="shared" si="0"/>
        <v>0</v>
      </c>
      <c r="F15" s="163"/>
      <c r="G15" s="163"/>
      <c r="H15" s="47"/>
    </row>
    <row r="16" spans="1:49" ht="15.6">
      <c r="A16" s="111" t="s">
        <v>197</v>
      </c>
      <c r="B16" s="197"/>
      <c r="C16" s="197"/>
      <c r="D16" s="197"/>
      <c r="E16" s="116">
        <f t="shared" si="0"/>
        <v>0</v>
      </c>
      <c r="F16" s="163"/>
      <c r="G16" s="163"/>
      <c r="H16" s="47"/>
    </row>
    <row r="17" spans="1:49" ht="15.6">
      <c r="A17" s="193" t="s">
        <v>134</v>
      </c>
      <c r="B17" s="198">
        <f>SUM(B11:B16)</f>
        <v>37751277.909999996</v>
      </c>
      <c r="C17" s="198">
        <f t="shared" ref="C17:D17" si="1">SUM(C11:C16)</f>
        <v>0</v>
      </c>
      <c r="D17" s="198">
        <f t="shared" si="1"/>
        <v>0</v>
      </c>
      <c r="E17" s="117"/>
      <c r="F17" s="164"/>
      <c r="G17" s="164"/>
      <c r="H17" s="47"/>
    </row>
    <row r="18" spans="1:49" ht="15.6">
      <c r="A18" s="111"/>
      <c r="B18" s="199"/>
      <c r="C18" s="199"/>
      <c r="D18" s="199"/>
      <c r="E18" s="117"/>
      <c r="F18" s="164"/>
      <c r="G18" s="164"/>
      <c r="H18" s="47"/>
    </row>
    <row r="19" spans="1:49" s="2" customFormat="1" ht="15.6">
      <c r="A19" s="113" t="s">
        <v>135</v>
      </c>
      <c r="B19" s="196" t="s">
        <v>21</v>
      </c>
      <c r="C19" s="196" t="s">
        <v>21</v>
      </c>
      <c r="D19" s="196" t="s">
        <v>21</v>
      </c>
      <c r="E19" s="118"/>
      <c r="F19" s="164"/>
      <c r="G19" s="164"/>
      <c r="H19" s="47"/>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row>
    <row r="20" spans="1:49" ht="15.6">
      <c r="A20" s="111" t="s">
        <v>136</v>
      </c>
      <c r="B20" s="246">
        <v>-14499892.789999999</v>
      </c>
      <c r="C20" s="246">
        <v>0</v>
      </c>
      <c r="D20" s="246">
        <v>0</v>
      </c>
      <c r="E20" s="116">
        <f t="shared" ref="E20:E25" si="2">SUM(B20:D20)</f>
        <v>-14499892.789999999</v>
      </c>
      <c r="F20" s="163"/>
      <c r="G20" s="163"/>
      <c r="H20" s="47"/>
    </row>
    <row r="21" spans="1:49" ht="15.6">
      <c r="A21" s="111" t="s">
        <v>137</v>
      </c>
      <c r="B21" s="197"/>
      <c r="C21" s="197"/>
      <c r="D21" s="197"/>
      <c r="E21" s="116">
        <f t="shared" si="2"/>
        <v>0</v>
      </c>
      <c r="F21" s="163"/>
      <c r="G21" s="163"/>
      <c r="H21" s="47"/>
    </row>
    <row r="22" spans="1:49" ht="15.6">
      <c r="A22" s="111" t="s">
        <v>138</v>
      </c>
      <c r="B22" s="197">
        <v>-7664532.6699999999</v>
      </c>
      <c r="C22" s="197"/>
      <c r="D22" s="197"/>
      <c r="E22" s="116">
        <f t="shared" si="2"/>
        <v>-7664532.6699999999</v>
      </c>
      <c r="F22" s="163"/>
      <c r="G22" s="163"/>
      <c r="H22" s="47"/>
    </row>
    <row r="23" spans="1:49" ht="15.6">
      <c r="A23" s="111" t="s">
        <v>139</v>
      </c>
      <c r="B23" s="197"/>
      <c r="C23" s="197"/>
      <c r="D23" s="197"/>
      <c r="E23" s="116">
        <f t="shared" si="2"/>
        <v>0</v>
      </c>
      <c r="F23" s="163"/>
      <c r="G23" s="163"/>
      <c r="H23" s="47"/>
    </row>
    <row r="24" spans="1:49" ht="15.6">
      <c r="A24" s="111" t="s">
        <v>133</v>
      </c>
      <c r="B24" s="197"/>
      <c r="C24" s="197"/>
      <c r="D24" s="197"/>
      <c r="E24" s="116">
        <f t="shared" si="2"/>
        <v>0</v>
      </c>
      <c r="F24" s="163"/>
      <c r="G24" s="163"/>
      <c r="H24" s="47"/>
    </row>
    <row r="25" spans="1:49" ht="15.6">
      <c r="A25" s="111" t="s">
        <v>197</v>
      </c>
      <c r="B25" s="197"/>
      <c r="C25" s="197"/>
      <c r="D25" s="197"/>
      <c r="E25" s="116">
        <f t="shared" si="2"/>
        <v>0</v>
      </c>
      <c r="F25" s="163"/>
      <c r="G25" s="163"/>
      <c r="H25" s="47"/>
    </row>
    <row r="26" spans="1:49" ht="15.6">
      <c r="A26" s="121" t="s">
        <v>134</v>
      </c>
      <c r="B26" s="198">
        <f>SUM(B20:B25)</f>
        <v>-22164425.460000001</v>
      </c>
      <c r="C26" s="198">
        <f t="shared" ref="C26:D26" si="3">SUM(C20:C25)</f>
        <v>0</v>
      </c>
      <c r="D26" s="198">
        <f t="shared" si="3"/>
        <v>0</v>
      </c>
      <c r="E26" s="117"/>
      <c r="F26" s="164"/>
      <c r="G26" s="164"/>
      <c r="H26" s="47"/>
    </row>
    <row r="27" spans="1:49" ht="15.6">
      <c r="A27" s="111"/>
      <c r="B27" s="199"/>
      <c r="C27" s="199"/>
      <c r="D27" s="199"/>
      <c r="E27" s="117"/>
      <c r="F27" s="164"/>
      <c r="G27" s="164"/>
      <c r="H27" s="47"/>
    </row>
    <row r="28" spans="1:49" ht="15.6">
      <c r="A28" s="111"/>
      <c r="B28" s="199"/>
      <c r="C28" s="199"/>
      <c r="D28" s="199"/>
      <c r="E28" s="117"/>
      <c r="F28" s="164"/>
      <c r="G28" s="164"/>
      <c r="H28" s="47"/>
    </row>
    <row r="29" spans="1:49" s="3" customFormat="1" ht="15.6">
      <c r="A29" s="114" t="s">
        <v>140</v>
      </c>
      <c r="B29" s="196" t="s">
        <v>21</v>
      </c>
      <c r="C29" s="196" t="s">
        <v>21</v>
      </c>
      <c r="D29" s="196" t="s">
        <v>21</v>
      </c>
      <c r="E29" s="119"/>
      <c r="F29" s="164"/>
      <c r="G29" s="164"/>
      <c r="H29" s="47"/>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row>
    <row r="30" spans="1:49" ht="15.6">
      <c r="A30" s="247" t="s">
        <v>141</v>
      </c>
      <c r="B30" s="246"/>
      <c r="C30" s="246"/>
      <c r="D30" s="246"/>
      <c r="E30" s="116">
        <f t="shared" ref="E30:E35" si="4">SUM(B30:D30)</f>
        <v>0</v>
      </c>
      <c r="F30" s="163"/>
      <c r="G30" s="163"/>
      <c r="H30" s="47"/>
    </row>
    <row r="31" spans="1:49" ht="15.6">
      <c r="A31" s="111" t="s">
        <v>137</v>
      </c>
      <c r="B31" s="197"/>
      <c r="C31" s="197"/>
      <c r="D31" s="197"/>
      <c r="E31" s="116">
        <f t="shared" si="4"/>
        <v>0</v>
      </c>
      <c r="F31" s="163"/>
      <c r="G31" s="163"/>
      <c r="H31" s="47"/>
    </row>
    <row r="32" spans="1:49" ht="15.6">
      <c r="A32" s="111" t="s">
        <v>142</v>
      </c>
      <c r="B32" s="197"/>
      <c r="C32" s="197"/>
      <c r="D32" s="197"/>
      <c r="E32" s="116">
        <f t="shared" si="4"/>
        <v>0</v>
      </c>
      <c r="F32" s="163"/>
      <c r="G32" s="163"/>
      <c r="H32" s="47"/>
    </row>
    <row r="33" spans="1:49" ht="15.6">
      <c r="A33" s="111" t="s">
        <v>143</v>
      </c>
      <c r="B33" s="197"/>
      <c r="C33" s="197"/>
      <c r="D33" s="197"/>
      <c r="E33" s="116">
        <f t="shared" si="4"/>
        <v>0</v>
      </c>
      <c r="F33" s="163"/>
      <c r="G33" s="163"/>
      <c r="H33" s="47"/>
    </row>
    <row r="34" spans="1:49" ht="15.6">
      <c r="A34" s="111" t="s">
        <v>133</v>
      </c>
      <c r="B34" s="197"/>
      <c r="C34" s="197"/>
      <c r="D34" s="197"/>
      <c r="E34" s="116">
        <f t="shared" si="4"/>
        <v>0</v>
      </c>
      <c r="F34" s="163"/>
      <c r="G34" s="163"/>
      <c r="H34" s="47"/>
    </row>
    <row r="35" spans="1:49" ht="15.6">
      <c r="A35" s="111" t="s">
        <v>197</v>
      </c>
      <c r="B35" s="197"/>
      <c r="C35" s="197"/>
      <c r="D35" s="197"/>
      <c r="E35" s="116">
        <f t="shared" si="4"/>
        <v>0</v>
      </c>
      <c r="F35" s="163"/>
      <c r="G35" s="163"/>
      <c r="H35" s="47"/>
    </row>
    <row r="36" spans="1:49" ht="15.6">
      <c r="A36" s="121" t="s">
        <v>134</v>
      </c>
      <c r="B36" s="198">
        <f>SUM(B30:B35)</f>
        <v>0</v>
      </c>
      <c r="C36" s="198">
        <f t="shared" ref="C36:D36" si="5">SUM(C30:C35)</f>
        <v>0</v>
      </c>
      <c r="D36" s="198">
        <f t="shared" si="5"/>
        <v>0</v>
      </c>
      <c r="E36" s="117"/>
      <c r="F36" s="164"/>
      <c r="G36" s="164"/>
      <c r="H36" s="47"/>
    </row>
    <row r="37" spans="1:49">
      <c r="B37" s="199"/>
      <c r="C37" s="199"/>
      <c r="D37" s="199"/>
      <c r="E37" s="117"/>
      <c r="F37" s="164"/>
      <c r="G37" s="164"/>
      <c r="H37" s="47"/>
    </row>
    <row r="38" spans="1:49" s="107" customFormat="1">
      <c r="A38" s="107" t="s">
        <v>98</v>
      </c>
      <c r="B38" s="200">
        <f>+B17+B26+B36</f>
        <v>15586852.449999996</v>
      </c>
      <c r="C38" s="200">
        <f>+C17+C26+C36</f>
        <v>0</v>
      </c>
      <c r="D38" s="200">
        <f>+D17+D26+D36</f>
        <v>0</v>
      </c>
      <c r="E38" s="120"/>
      <c r="F38" s="76"/>
      <c r="G38" s="76"/>
      <c r="H38" s="76"/>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row>
    <row r="39" spans="1:49">
      <c r="B39" s="199"/>
      <c r="C39" s="199"/>
      <c r="D39" s="199"/>
      <c r="E39" s="117"/>
      <c r="F39" s="164"/>
      <c r="G39" s="164"/>
      <c r="H39" s="47"/>
    </row>
    <row r="40" spans="1:49" s="3" customFormat="1">
      <c r="A40" s="3" t="s">
        <v>144</v>
      </c>
      <c r="B40" s="196" t="s">
        <v>21</v>
      </c>
      <c r="C40" s="196" t="s">
        <v>21</v>
      </c>
      <c r="D40" s="196" t="s">
        <v>21</v>
      </c>
      <c r="E40" s="119"/>
      <c r="F40" s="164"/>
      <c r="G40" s="164"/>
      <c r="H40" s="47"/>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spans="1:49" ht="15.6">
      <c r="A41" s="121" t="s">
        <v>145</v>
      </c>
      <c r="B41" s="201"/>
      <c r="C41" s="201"/>
      <c r="D41" s="201"/>
      <c r="E41" s="116">
        <f>SUM(B41:D41)</f>
        <v>0</v>
      </c>
      <c r="F41" s="163"/>
      <c r="G41" s="163"/>
      <c r="H41" s="47"/>
    </row>
    <row r="42" spans="1:49" ht="15.6">
      <c r="A42" s="111" t="s">
        <v>146</v>
      </c>
      <c r="B42" s="199">
        <f>+B14+B23+B33</f>
        <v>0</v>
      </c>
      <c r="C42" s="199">
        <f>+C14+C23+C33</f>
        <v>0</v>
      </c>
      <c r="D42" s="199">
        <f>+D14+D23+D33</f>
        <v>0</v>
      </c>
      <c r="E42" s="117"/>
      <c r="F42" s="164"/>
      <c r="G42" s="164"/>
      <c r="H42" s="47"/>
    </row>
    <row r="43" spans="1:49" ht="15.6">
      <c r="A43" s="111" t="s">
        <v>147</v>
      </c>
      <c r="B43" s="199">
        <f>+B41+B42</f>
        <v>0</v>
      </c>
      <c r="C43" s="199">
        <f t="shared" ref="C43:D43" si="6">+C41+C42</f>
        <v>0</v>
      </c>
      <c r="D43" s="199">
        <f t="shared" si="6"/>
        <v>0</v>
      </c>
      <c r="E43" s="117"/>
      <c r="F43" s="164"/>
      <c r="G43" s="164"/>
      <c r="H43" s="47"/>
    </row>
    <row r="44" spans="1:49" ht="15.6">
      <c r="A44" s="111"/>
      <c r="B44" s="202"/>
      <c r="C44" s="202"/>
      <c r="D44" s="202"/>
      <c r="E44" s="112"/>
      <c r="F44" s="165"/>
      <c r="G44" s="165"/>
    </row>
    <row r="45" spans="1:49">
      <c r="B45" s="14"/>
      <c r="C45" s="14"/>
      <c r="D45" s="14"/>
    </row>
    <row r="46" spans="1:49">
      <c r="B46" s="14"/>
      <c r="C46" s="14"/>
      <c r="D46" s="14"/>
    </row>
  </sheetData>
  <mergeCells count="6">
    <mergeCell ref="I4:K4"/>
    <mergeCell ref="A7:E7"/>
    <mergeCell ref="A2:E2"/>
    <mergeCell ref="B3:E3"/>
    <mergeCell ref="B5:E5"/>
    <mergeCell ref="A6:E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64B5-FD48-4533-8514-12EAC1B36235}">
  <dimension ref="A1:BE44"/>
  <sheetViews>
    <sheetView showGridLines="0" topLeftCell="A21" workbookViewId="0">
      <selection activeCell="C23" sqref="C23"/>
    </sheetView>
  </sheetViews>
  <sheetFormatPr defaultRowHeight="14.4"/>
  <cols>
    <col min="1" max="1" width="49.5546875" bestFit="1" customWidth="1"/>
    <col min="2" max="2" width="24.77734375" customWidth="1"/>
    <col min="3" max="4" width="24" customWidth="1"/>
    <col min="5" max="5" width="12.5546875" bestFit="1" customWidth="1"/>
    <col min="6" max="7" width="9.21875" style="4"/>
    <col min="8" max="8" width="18.21875" style="4" customWidth="1"/>
    <col min="9" max="9" width="20.77734375" style="4" customWidth="1"/>
    <col min="10" max="57" width="9.21875" style="4"/>
  </cols>
  <sheetData>
    <row r="1" spans="1:57" ht="18">
      <c r="A1" s="9" t="s">
        <v>358</v>
      </c>
      <c r="B1" s="470" t="str">
        <f>+Start!B3</f>
        <v>Omegapoint Malmö AB (Ink E.Syd)</v>
      </c>
      <c r="C1" s="471"/>
      <c r="D1" s="471"/>
      <c r="E1" s="471"/>
    </row>
    <row r="2" spans="1:57">
      <c r="A2" s="468"/>
      <c r="B2" s="468"/>
      <c r="C2" s="468"/>
      <c r="D2" s="468"/>
      <c r="E2" s="468"/>
    </row>
    <row r="3" spans="1:57" ht="18">
      <c r="A3" s="110"/>
      <c r="B3" s="469"/>
      <c r="C3" s="468"/>
      <c r="D3" s="468"/>
      <c r="E3" s="468"/>
    </row>
    <row r="4" spans="1:57">
      <c r="H4" s="448" t="s">
        <v>125</v>
      </c>
      <c r="I4" s="448"/>
    </row>
    <row r="5" spans="1:57" ht="18">
      <c r="A5" s="110"/>
      <c r="B5" s="469"/>
      <c r="C5" s="468"/>
      <c r="D5" s="468"/>
      <c r="E5" s="468"/>
    </row>
    <row r="6" spans="1:57">
      <c r="A6" s="468"/>
      <c r="B6" s="468"/>
      <c r="C6" s="468"/>
      <c r="D6" s="468"/>
      <c r="E6" s="468"/>
    </row>
    <row r="7" spans="1:57">
      <c r="A7" s="468"/>
      <c r="B7" s="468"/>
      <c r="C7" s="468"/>
      <c r="D7" s="468"/>
      <c r="E7" s="468"/>
      <c r="H7" s="77"/>
      <c r="I7" s="77"/>
    </row>
    <row r="8" spans="1:57" ht="31.2">
      <c r="A8" s="265" t="s">
        <v>12</v>
      </c>
      <c r="B8" s="266" t="s">
        <v>148</v>
      </c>
      <c r="C8" s="266" t="s">
        <v>149</v>
      </c>
      <c r="D8" s="298" t="s">
        <v>359</v>
      </c>
      <c r="E8" s="266" t="s">
        <v>127</v>
      </c>
      <c r="G8" s="153"/>
      <c r="H8" s="154" t="str">
        <f>+B8</f>
        <v>Nedslagda utgifter på annans fastighet</v>
      </c>
      <c r="I8" s="155" t="str">
        <f>+C8</f>
        <v>Inventarier, verktyg  och installationer</v>
      </c>
    </row>
    <row r="9" spans="1:57" ht="15.6">
      <c r="A9" s="265" t="s">
        <v>0</v>
      </c>
      <c r="B9" s="267">
        <f>+Start!G3</f>
        <v>46022</v>
      </c>
      <c r="C9" s="267">
        <f>+B9</f>
        <v>46022</v>
      </c>
      <c r="D9" s="267">
        <f>+C9</f>
        <v>46022</v>
      </c>
      <c r="E9" s="267">
        <f>+B9</f>
        <v>46022</v>
      </c>
    </row>
    <row r="10" spans="1:57" s="3" customFormat="1" ht="15.6">
      <c r="A10" s="114" t="s">
        <v>128</v>
      </c>
      <c r="B10" s="196" t="s">
        <v>21</v>
      </c>
      <c r="C10" s="196" t="s">
        <v>21</v>
      </c>
      <c r="D10" s="196" t="s">
        <v>21</v>
      </c>
      <c r="E10" s="157"/>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row>
    <row r="11" spans="1:57" ht="15.6">
      <c r="A11" s="111" t="s">
        <v>150</v>
      </c>
      <c r="B11" s="246">
        <v>0</v>
      </c>
      <c r="C11" s="246">
        <v>1821815.95</v>
      </c>
      <c r="D11" s="246"/>
      <c r="E11" s="116">
        <f>SUM(B11:C11)</f>
        <v>1821815.95</v>
      </c>
      <c r="F11" s="47"/>
      <c r="H11" s="77"/>
      <c r="I11" s="77"/>
    </row>
    <row r="12" spans="1:57" ht="15.6">
      <c r="A12" s="111" t="s">
        <v>130</v>
      </c>
      <c r="B12" s="197"/>
      <c r="C12" s="197"/>
      <c r="D12" s="197"/>
      <c r="E12" s="116">
        <f t="shared" ref="E12:E16" si="0">SUM(B12:C12)</f>
        <v>0</v>
      </c>
      <c r="F12" s="47"/>
      <c r="G12" s="153"/>
      <c r="H12" s="156">
        <f>+B12+B21</f>
        <v>0</v>
      </c>
      <c r="I12" s="156">
        <f>+C12+C21</f>
        <v>0</v>
      </c>
    </row>
    <row r="13" spans="1:57" ht="15.6">
      <c r="A13" s="111" t="s">
        <v>131</v>
      </c>
      <c r="B13" s="197"/>
      <c r="C13" s="197">
        <v>174420</v>
      </c>
      <c r="D13" s="197"/>
      <c r="E13" s="116">
        <f t="shared" si="0"/>
        <v>174420</v>
      </c>
      <c r="F13" s="47"/>
    </row>
    <row r="14" spans="1:57" ht="15.6">
      <c r="A14" s="111" t="s">
        <v>132</v>
      </c>
      <c r="B14" s="197"/>
      <c r="C14" s="197"/>
      <c r="D14" s="197"/>
      <c r="E14" s="116">
        <f t="shared" si="0"/>
        <v>0</v>
      </c>
      <c r="F14" s="47"/>
    </row>
    <row r="15" spans="1:57" ht="15.6">
      <c r="A15" s="111" t="s">
        <v>133</v>
      </c>
      <c r="B15" s="197"/>
      <c r="C15" s="197"/>
      <c r="D15" s="197"/>
      <c r="E15" s="116">
        <f t="shared" si="0"/>
        <v>0</v>
      </c>
      <c r="F15" s="47"/>
    </row>
    <row r="16" spans="1:57" ht="15.6">
      <c r="A16" s="111" t="s">
        <v>197</v>
      </c>
      <c r="B16" s="197"/>
      <c r="C16" s="197"/>
      <c r="D16" s="197"/>
      <c r="E16" s="116">
        <f t="shared" si="0"/>
        <v>0</v>
      </c>
      <c r="F16" s="116"/>
      <c r="G16" s="163"/>
      <c r="H16" s="163"/>
      <c r="I16" s="47"/>
      <c r="AY16"/>
      <c r="AZ16"/>
      <c r="BA16"/>
      <c r="BB16"/>
      <c r="BC16"/>
      <c r="BD16"/>
      <c r="BE16"/>
    </row>
    <row r="17" spans="1:57" ht="15.6">
      <c r="A17" s="121" t="s">
        <v>134</v>
      </c>
      <c r="B17" s="198">
        <f>SUM(B11:B16)</f>
        <v>0</v>
      </c>
      <c r="C17" s="198">
        <f>SUM(C11:C16)</f>
        <v>1996235.95</v>
      </c>
      <c r="D17" s="198"/>
      <c r="E17" s="117"/>
      <c r="F17" s="47"/>
    </row>
    <row r="18" spans="1:57" ht="15.6">
      <c r="A18" s="111"/>
      <c r="B18" s="199"/>
      <c r="C18" s="199"/>
      <c r="D18" s="199"/>
      <c r="E18" s="117"/>
      <c r="F18" s="47"/>
    </row>
    <row r="19" spans="1:57" s="2" customFormat="1" ht="15.6">
      <c r="A19" s="113" t="s">
        <v>135</v>
      </c>
      <c r="B19" s="196" t="s">
        <v>21</v>
      </c>
      <c r="C19" s="196" t="s">
        <v>21</v>
      </c>
      <c r="D19" s="196" t="s">
        <v>21</v>
      </c>
      <c r="E19" s="118"/>
      <c r="F19" s="47"/>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row>
    <row r="20" spans="1:57" ht="15.6">
      <c r="A20" s="111" t="s">
        <v>136</v>
      </c>
      <c r="B20" s="246">
        <v>0</v>
      </c>
      <c r="C20" s="246">
        <v>-668255.44999999995</v>
      </c>
      <c r="D20" s="246"/>
      <c r="E20" s="116">
        <f>SUM(B20:C20)</f>
        <v>-668255.44999999995</v>
      </c>
      <c r="F20" s="47"/>
    </row>
    <row r="21" spans="1:57" ht="15.6">
      <c r="A21" s="111" t="s">
        <v>137</v>
      </c>
      <c r="B21" s="197"/>
      <c r="C21" s="197"/>
      <c r="D21" s="197"/>
      <c r="E21" s="116">
        <f>SUM(B21:C21)</f>
        <v>0</v>
      </c>
      <c r="F21" s="47"/>
    </row>
    <row r="22" spans="1:57" ht="15.6">
      <c r="A22" s="111" t="s">
        <v>138</v>
      </c>
      <c r="B22" s="197"/>
      <c r="C22" s="197">
        <v>-391910.03</v>
      </c>
      <c r="D22" s="197"/>
      <c r="E22" s="116">
        <f t="shared" ref="E22:E25" si="1">SUM(B22:C22)</f>
        <v>-391910.03</v>
      </c>
      <c r="F22" s="47"/>
    </row>
    <row r="23" spans="1:57" ht="31.2">
      <c r="A23" s="111" t="s">
        <v>139</v>
      </c>
      <c r="B23" s="197"/>
      <c r="C23" s="197"/>
      <c r="D23" s="197"/>
      <c r="E23" s="116">
        <f t="shared" si="1"/>
        <v>0</v>
      </c>
      <c r="F23" s="47"/>
    </row>
    <row r="24" spans="1:57" ht="15.6">
      <c r="A24" s="111" t="s">
        <v>133</v>
      </c>
      <c r="B24" s="197"/>
      <c r="C24" s="197"/>
      <c r="D24" s="197"/>
      <c r="E24" s="116">
        <f t="shared" si="1"/>
        <v>0</v>
      </c>
      <c r="F24" s="47"/>
    </row>
    <row r="25" spans="1:57" ht="15.6">
      <c r="A25" s="111" t="s">
        <v>197</v>
      </c>
      <c r="B25" s="197"/>
      <c r="C25" s="197"/>
      <c r="D25" s="197"/>
      <c r="E25" s="116">
        <f t="shared" si="1"/>
        <v>0</v>
      </c>
      <c r="F25" s="116"/>
      <c r="G25" s="163"/>
      <c r="H25" s="163"/>
      <c r="I25" s="47"/>
      <c r="AY25"/>
      <c r="AZ25"/>
      <c r="BA25"/>
      <c r="BB25"/>
      <c r="BC25"/>
      <c r="BD25"/>
      <c r="BE25"/>
    </row>
    <row r="26" spans="1:57" ht="15.6">
      <c r="A26" s="121" t="s">
        <v>134</v>
      </c>
      <c r="B26" s="198">
        <f>SUM(B20:B25)</f>
        <v>0</v>
      </c>
      <c r="C26" s="198">
        <f>SUM(C20:C25)</f>
        <v>-1060165.48</v>
      </c>
      <c r="D26" s="198">
        <f>SUM(D20:D25)</f>
        <v>0</v>
      </c>
      <c r="E26" s="117"/>
      <c r="F26" s="47"/>
    </row>
    <row r="27" spans="1:57" ht="15.6">
      <c r="A27" s="111"/>
      <c r="B27" s="199"/>
      <c r="C27" s="199"/>
      <c r="D27" s="199"/>
      <c r="E27" s="117"/>
      <c r="F27" s="47"/>
    </row>
    <row r="28" spans="1:57" ht="15.6">
      <c r="A28" s="111"/>
      <c r="B28" s="199"/>
      <c r="C28" s="199"/>
      <c r="D28" s="199"/>
      <c r="E28" s="117"/>
      <c r="F28" s="47"/>
    </row>
    <row r="29" spans="1:57" s="3" customFormat="1" ht="15.6">
      <c r="A29" s="114" t="s">
        <v>140</v>
      </c>
      <c r="B29" s="196" t="s">
        <v>21</v>
      </c>
      <c r="C29" s="196" t="s">
        <v>21</v>
      </c>
      <c r="D29" s="196" t="s">
        <v>21</v>
      </c>
      <c r="E29" s="119"/>
      <c r="F29" s="47"/>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row>
    <row r="30" spans="1:57" ht="15.6">
      <c r="A30" s="111" t="s">
        <v>141</v>
      </c>
      <c r="B30" s="246"/>
      <c r="C30" s="246"/>
      <c r="D30" s="246"/>
      <c r="E30" s="116">
        <f>SUM(B30:C30)</f>
        <v>0</v>
      </c>
      <c r="F30" s="47"/>
    </row>
    <row r="31" spans="1:57" ht="15.6">
      <c r="A31" s="111" t="s">
        <v>137</v>
      </c>
      <c r="B31" s="197"/>
      <c r="C31" s="197"/>
      <c r="D31" s="197"/>
      <c r="E31" s="116">
        <f t="shared" ref="E31:E35" si="2">SUM(B31:C31)</f>
        <v>0</v>
      </c>
      <c r="F31" s="47"/>
    </row>
    <row r="32" spans="1:57" ht="15.6">
      <c r="A32" s="111" t="s">
        <v>142</v>
      </c>
      <c r="B32" s="197"/>
      <c r="C32" s="197"/>
      <c r="D32" s="197"/>
      <c r="E32" s="116">
        <f t="shared" si="2"/>
        <v>0</v>
      </c>
      <c r="F32" s="47"/>
    </row>
    <row r="33" spans="1:57" ht="15.6">
      <c r="A33" s="111" t="s">
        <v>133</v>
      </c>
      <c r="B33" s="197"/>
      <c r="C33" s="197"/>
      <c r="D33" s="197"/>
      <c r="E33" s="116">
        <f t="shared" si="2"/>
        <v>0</v>
      </c>
      <c r="F33" s="47"/>
    </row>
    <row r="34" spans="1:57" ht="15.6">
      <c r="A34" s="111" t="s">
        <v>143</v>
      </c>
      <c r="B34" s="197"/>
      <c r="C34" s="197"/>
      <c r="D34" s="197"/>
      <c r="E34" s="116">
        <f t="shared" si="2"/>
        <v>0</v>
      </c>
      <c r="F34" s="47"/>
    </row>
    <row r="35" spans="1:57" ht="15.6">
      <c r="A35" s="111" t="s">
        <v>197</v>
      </c>
      <c r="B35" s="197"/>
      <c r="C35" s="197"/>
      <c r="D35" s="197"/>
      <c r="E35" s="116">
        <f t="shared" si="2"/>
        <v>0</v>
      </c>
      <c r="F35" s="116"/>
      <c r="G35" s="163"/>
      <c r="H35" s="163"/>
      <c r="I35" s="47"/>
      <c r="AY35"/>
      <c r="AZ35"/>
      <c r="BA35"/>
      <c r="BB35"/>
      <c r="BC35"/>
      <c r="BD35"/>
      <c r="BE35"/>
    </row>
    <row r="36" spans="1:57" ht="15.6">
      <c r="A36" s="121" t="s">
        <v>134</v>
      </c>
      <c r="B36" s="198">
        <f>SUM(B30:B35)</f>
        <v>0</v>
      </c>
      <c r="C36" s="198">
        <f>SUM(C30:C35)</f>
        <v>0</v>
      </c>
      <c r="D36" s="198">
        <f>SUM(D30:D35)</f>
        <v>0</v>
      </c>
      <c r="E36" s="117"/>
      <c r="F36" s="47"/>
    </row>
    <row r="37" spans="1:57">
      <c r="B37" s="199"/>
      <c r="C37" s="199"/>
      <c r="D37" s="199"/>
      <c r="E37" s="117"/>
      <c r="F37" s="47"/>
    </row>
    <row r="38" spans="1:57" s="107" customFormat="1">
      <c r="A38" s="107" t="s">
        <v>98</v>
      </c>
      <c r="B38" s="200">
        <f>+B17+B26+B36</f>
        <v>0</v>
      </c>
      <c r="C38" s="200">
        <f>+C17+C26+C36</f>
        <v>936070.47</v>
      </c>
      <c r="D38" s="200">
        <f>+D17+D26+D36</f>
        <v>0</v>
      </c>
      <c r="E38" s="158"/>
      <c r="F38" s="76"/>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row>
    <row r="39" spans="1:57">
      <c r="B39" s="199"/>
      <c r="C39" s="199"/>
      <c r="D39" s="199"/>
      <c r="E39" s="117"/>
      <c r="F39" s="47"/>
    </row>
    <row r="40" spans="1:57" s="3" customFormat="1">
      <c r="A40" s="3" t="s">
        <v>144</v>
      </c>
      <c r="B40" s="196" t="s">
        <v>21</v>
      </c>
      <c r="C40" s="196" t="s">
        <v>21</v>
      </c>
      <c r="D40" s="196"/>
      <c r="E40" s="119"/>
      <c r="F40" s="47"/>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row>
    <row r="41" spans="1:57" ht="15.6">
      <c r="A41" s="121" t="s">
        <v>145</v>
      </c>
      <c r="B41" s="201"/>
      <c r="C41" s="201"/>
      <c r="D41" s="201"/>
      <c r="E41" s="116">
        <f>SUM(B41:C41)</f>
        <v>0</v>
      </c>
      <c r="F41" s="47"/>
    </row>
    <row r="42" spans="1:57" ht="15.6">
      <c r="A42" s="111" t="s">
        <v>146</v>
      </c>
      <c r="B42" s="199">
        <f>+B14+B23</f>
        <v>0</v>
      </c>
      <c r="C42" s="199">
        <f>+C14+C23</f>
        <v>0</v>
      </c>
      <c r="D42" s="199">
        <f>+D14+D23</f>
        <v>0</v>
      </c>
      <c r="E42" s="116">
        <f t="shared" ref="E42:E43" si="3">SUM(B42:C42)</f>
        <v>0</v>
      </c>
      <c r="F42" s="47"/>
    </row>
    <row r="43" spans="1:57" ht="15.6">
      <c r="A43" s="111" t="s">
        <v>147</v>
      </c>
      <c r="B43" s="199">
        <f>+B41+B42</f>
        <v>0</v>
      </c>
      <c r="C43" s="199">
        <f>+C41+C42</f>
        <v>0</v>
      </c>
      <c r="D43" s="199">
        <f>+D41+D42</f>
        <v>0</v>
      </c>
      <c r="E43" s="116">
        <f t="shared" si="3"/>
        <v>0</v>
      </c>
      <c r="F43" s="47"/>
    </row>
    <row r="44" spans="1:57" ht="15.6">
      <c r="A44" s="111"/>
      <c r="B44" s="202"/>
      <c r="C44" s="202"/>
      <c r="D44" s="202"/>
      <c r="E44" s="112"/>
    </row>
  </sheetData>
  <mergeCells count="7">
    <mergeCell ref="H4:I4"/>
    <mergeCell ref="A7:E7"/>
    <mergeCell ref="A2:E2"/>
    <mergeCell ref="B3:E3"/>
    <mergeCell ref="B1:E1"/>
    <mergeCell ref="B5:E5"/>
    <mergeCell ref="A6:E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CB8D-F4D6-4871-BB71-50323DCEAB16}">
  <dimension ref="A1:H42"/>
  <sheetViews>
    <sheetView showGridLines="0" topLeftCell="A18" workbookViewId="0">
      <selection activeCell="L25" sqref="L25"/>
    </sheetView>
  </sheetViews>
  <sheetFormatPr defaultRowHeight="14.4"/>
  <cols>
    <col min="1" max="1" width="38.44140625" customWidth="1"/>
    <col min="2" max="2" width="11.77734375" customWidth="1"/>
    <col min="3" max="3" width="6.77734375" customWidth="1"/>
    <col min="4" max="4" width="25" bestFit="1" customWidth="1"/>
    <col min="5" max="5" width="21.5546875" customWidth="1"/>
    <col min="6" max="6" width="32.77734375" bestFit="1" customWidth="1"/>
  </cols>
  <sheetData>
    <row r="1" spans="1:8" ht="18">
      <c r="A1" s="9" t="s">
        <v>360</v>
      </c>
      <c r="B1" s="5"/>
      <c r="D1" s="16" t="str">
        <f>+Start!B3</f>
        <v>Omegapoint Malmö AB (Ink E.Syd)</v>
      </c>
    </row>
    <row r="3" spans="1:8" ht="15.6">
      <c r="A3" s="9"/>
      <c r="B3" s="9"/>
      <c r="D3" s="10"/>
      <c r="E3" s="10"/>
      <c r="F3" s="10"/>
    </row>
    <row r="4" spans="1:8" ht="15.6">
      <c r="A4" s="9"/>
      <c r="B4" s="9"/>
      <c r="D4" s="10"/>
      <c r="E4" s="10"/>
      <c r="F4" s="10"/>
    </row>
    <row r="5" spans="1:8" s="65" customFormat="1">
      <c r="A5" s="145" t="s">
        <v>151</v>
      </c>
      <c r="B5" s="145"/>
      <c r="C5" s="145"/>
      <c r="D5" s="8">
        <f>+Start!G3</f>
        <v>46022</v>
      </c>
      <c r="E5" s="8"/>
      <c r="F5" s="8"/>
    </row>
    <row r="6" spans="1:8" ht="7.95" customHeight="1"/>
    <row r="7" spans="1:8" ht="18.600000000000001" customHeight="1">
      <c r="A7" t="s">
        <v>157</v>
      </c>
      <c r="C7" s="15"/>
      <c r="D7" s="47"/>
      <c r="E7" s="47"/>
      <c r="F7" s="47"/>
      <c r="G7" s="170"/>
      <c r="H7" s="4"/>
    </row>
    <row r="8" spans="1:8">
      <c r="A8" s="169" t="s">
        <v>158</v>
      </c>
      <c r="B8" s="169"/>
      <c r="D8" s="1"/>
      <c r="E8" s="4"/>
      <c r="F8" s="4"/>
    </row>
    <row r="9" spans="1:8">
      <c r="A9" s="169" t="s">
        <v>193</v>
      </c>
      <c r="B9" s="169"/>
      <c r="D9" s="1"/>
      <c r="E9" s="4"/>
      <c r="F9" s="4"/>
    </row>
    <row r="10" spans="1:8">
      <c r="A10" s="169" t="s">
        <v>222</v>
      </c>
      <c r="B10" s="169"/>
      <c r="D10" s="1"/>
      <c r="E10" s="4"/>
      <c r="F10" s="4"/>
    </row>
    <row r="11" spans="1:8">
      <c r="A11" s="169" t="s">
        <v>159</v>
      </c>
      <c r="B11" s="169"/>
      <c r="D11" s="1"/>
      <c r="E11" s="4"/>
      <c r="F11" s="4"/>
    </row>
    <row r="12" spans="1:8">
      <c r="A12" s="16" t="s">
        <v>161</v>
      </c>
      <c r="B12" s="16"/>
      <c r="D12" s="16">
        <f>SUM(D8:D11)</f>
        <v>0</v>
      </c>
      <c r="E12" s="16"/>
      <c r="F12" s="16"/>
    </row>
    <row r="14" spans="1:8">
      <c r="D14" s="472">
        <f>+D5</f>
        <v>46022</v>
      </c>
      <c r="E14" s="472"/>
      <c r="F14" s="472"/>
    </row>
    <row r="15" spans="1:8">
      <c r="D15" s="192"/>
      <c r="E15" s="192"/>
      <c r="F15" s="192"/>
    </row>
    <row r="16" spans="1:8">
      <c r="A16" s="65" t="s">
        <v>189</v>
      </c>
      <c r="B16" s="65" t="s">
        <v>225</v>
      </c>
      <c r="D16" t="s">
        <v>195</v>
      </c>
      <c r="E16" t="s">
        <v>196</v>
      </c>
      <c r="F16" t="s">
        <v>224</v>
      </c>
    </row>
    <row r="17" spans="1:6">
      <c r="A17" s="1"/>
      <c r="B17" s="203"/>
      <c r="D17" s="190"/>
      <c r="E17" s="191"/>
      <c r="F17" s="1"/>
    </row>
    <row r="18" spans="1:6">
      <c r="A18" s="1"/>
      <c r="B18" s="203"/>
      <c r="D18" s="1"/>
      <c r="E18" s="191"/>
      <c r="F18" s="1"/>
    </row>
    <row r="20" spans="1:6">
      <c r="D20" t="s">
        <v>194</v>
      </c>
      <c r="E20" t="s">
        <v>223</v>
      </c>
      <c r="F20" s="4"/>
    </row>
    <row r="21" spans="1:6">
      <c r="D21" s="190"/>
      <c r="E21" s="1"/>
      <c r="F21" s="4"/>
    </row>
    <row r="22" spans="1:6">
      <c r="D22" s="190"/>
      <c r="E22" s="1"/>
    </row>
    <row r="25" spans="1:6">
      <c r="A25" s="145" t="s">
        <v>151</v>
      </c>
      <c r="B25" s="145"/>
      <c r="C25" s="145"/>
      <c r="D25" s="8">
        <f>+Start!F3</f>
        <v>45657</v>
      </c>
      <c r="E25" s="8"/>
      <c r="F25" s="8"/>
    </row>
    <row r="27" spans="1:6">
      <c r="A27" t="s">
        <v>157</v>
      </c>
      <c r="C27" s="15"/>
      <c r="D27" s="47"/>
      <c r="E27" s="47"/>
      <c r="F27" s="47"/>
    </row>
    <row r="28" spans="1:6">
      <c r="A28" s="169" t="s">
        <v>158</v>
      </c>
      <c r="B28" s="169"/>
      <c r="D28" s="2"/>
      <c r="E28" s="4"/>
      <c r="F28" s="4"/>
    </row>
    <row r="29" spans="1:6">
      <c r="A29" s="169" t="s">
        <v>193</v>
      </c>
      <c r="B29" s="169"/>
      <c r="D29" s="2"/>
      <c r="E29" s="4"/>
      <c r="F29" s="4"/>
    </row>
    <row r="30" spans="1:6">
      <c r="A30" s="169" t="s">
        <v>222</v>
      </c>
      <c r="B30" s="169"/>
      <c r="D30" s="2"/>
      <c r="E30" s="4"/>
      <c r="F30" s="4"/>
    </row>
    <row r="31" spans="1:6">
      <c r="A31" s="169" t="s">
        <v>159</v>
      </c>
      <c r="B31" s="169"/>
      <c r="D31" s="2"/>
      <c r="E31" s="4"/>
      <c r="F31" s="4"/>
    </row>
    <row r="32" spans="1:6">
      <c r="A32" s="16" t="s">
        <v>161</v>
      </c>
      <c r="B32" s="16"/>
      <c r="D32" s="16">
        <f>SUM(D28:D31)</f>
        <v>0</v>
      </c>
      <c r="E32" s="16"/>
      <c r="F32" s="16"/>
    </row>
    <row r="34" spans="1:6">
      <c r="D34" s="472">
        <f>+D25</f>
        <v>45657</v>
      </c>
      <c r="E34" s="472"/>
      <c r="F34" s="472"/>
    </row>
    <row r="35" spans="1:6">
      <c r="D35" s="192"/>
      <c r="E35" s="192"/>
      <c r="F35" s="192"/>
    </row>
    <row r="36" spans="1:6">
      <c r="A36" s="65" t="s">
        <v>189</v>
      </c>
      <c r="B36" s="65" t="s">
        <v>225</v>
      </c>
      <c r="D36" t="s">
        <v>195</v>
      </c>
      <c r="E36" t="s">
        <v>196</v>
      </c>
      <c r="F36" t="s">
        <v>224</v>
      </c>
    </row>
    <row r="37" spans="1:6">
      <c r="A37" s="2"/>
      <c r="B37" s="248"/>
      <c r="D37" s="249"/>
      <c r="E37" s="250"/>
      <c r="F37" s="2"/>
    </row>
    <row r="38" spans="1:6">
      <c r="A38" s="2"/>
      <c r="B38" s="248"/>
      <c r="D38" s="2"/>
      <c r="E38" s="250"/>
      <c r="F38" s="2"/>
    </row>
    <row r="40" spans="1:6">
      <c r="D40" t="s">
        <v>194</v>
      </c>
      <c r="E40" t="s">
        <v>223</v>
      </c>
      <c r="F40" s="4"/>
    </row>
    <row r="41" spans="1:6">
      <c r="D41" s="249"/>
      <c r="E41" s="2"/>
      <c r="F41" s="4"/>
    </row>
    <row r="42" spans="1:6">
      <c r="D42" s="249"/>
      <c r="E42" s="2"/>
    </row>
  </sheetData>
  <mergeCells count="2">
    <mergeCell ref="D14:F14"/>
    <mergeCell ref="D34:F34"/>
  </mergeCells>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0D3A2-573B-4BB2-A3EB-17FA1CAA8CBF}">
  <dimension ref="A1:R37"/>
  <sheetViews>
    <sheetView showGridLines="0" workbookViewId="0">
      <selection activeCell="P37" sqref="P37"/>
    </sheetView>
  </sheetViews>
  <sheetFormatPr defaultRowHeight="14.4"/>
  <cols>
    <col min="1" max="1" width="30.77734375" bestFit="1" customWidth="1"/>
    <col min="2" max="2" width="17.44140625" customWidth="1"/>
    <col min="3" max="3" width="15.77734375" customWidth="1"/>
    <col min="4" max="4" width="13.21875" bestFit="1" customWidth="1"/>
    <col min="5" max="5" width="4.21875" style="4" customWidth="1"/>
    <col min="6" max="6" width="11" bestFit="1" customWidth="1"/>
    <col min="10" max="10" width="35.5546875" bestFit="1" customWidth="1"/>
    <col min="11" max="11" width="12.21875" bestFit="1" customWidth="1"/>
    <col min="12" max="12" width="12.77734375" bestFit="1" customWidth="1"/>
    <col min="13" max="13" width="13.21875" bestFit="1" customWidth="1"/>
  </cols>
  <sheetData>
    <row r="1" spans="1:18" ht="15.6">
      <c r="A1" s="9" t="s">
        <v>385</v>
      </c>
      <c r="J1" s="16" t="s">
        <v>393</v>
      </c>
    </row>
    <row r="2" spans="1:18" ht="15.6">
      <c r="A2" s="9"/>
      <c r="B2" s="9"/>
      <c r="D2" s="10"/>
      <c r="E2" s="41"/>
      <c r="F2" s="10"/>
      <c r="G2" s="10"/>
    </row>
    <row r="3" spans="1:18" s="65" customFormat="1">
      <c r="A3" s="145" t="s">
        <v>151</v>
      </c>
      <c r="B3" s="145"/>
      <c r="C3" s="145"/>
      <c r="D3" s="8">
        <f>+Start!G3</f>
        <v>46022</v>
      </c>
      <c r="E3" s="314"/>
      <c r="F3" s="8">
        <f>+Start!F3</f>
        <v>45657</v>
      </c>
      <c r="G3" s="8"/>
      <c r="I3"/>
      <c r="J3" s="7" t="s">
        <v>394</v>
      </c>
      <c r="K3" s="7" t="s">
        <v>395</v>
      </c>
      <c r="L3" s="7" t="s">
        <v>396</v>
      </c>
      <c r="M3" s="7" t="s">
        <v>397</v>
      </c>
      <c r="N3"/>
      <c r="O3"/>
      <c r="P3"/>
      <c r="Q3"/>
      <c r="R3"/>
    </row>
    <row r="4" spans="1:18" ht="7.95" customHeight="1"/>
    <row r="5" spans="1:18" ht="18.600000000000001" customHeight="1">
      <c r="A5" t="s">
        <v>388</v>
      </c>
      <c r="C5" s="15"/>
      <c r="D5" s="47"/>
      <c r="E5" s="47"/>
      <c r="F5" s="47"/>
      <c r="G5" s="47"/>
      <c r="H5" s="170"/>
    </row>
    <row r="6" spans="1:18">
      <c r="A6" s="169" t="s">
        <v>158</v>
      </c>
      <c r="B6" s="169"/>
      <c r="D6" s="47">
        <f>+F12</f>
        <v>2612322</v>
      </c>
      <c r="E6" s="47"/>
      <c r="F6" s="47">
        <v>6394432</v>
      </c>
      <c r="G6" s="4"/>
      <c r="J6" s="309"/>
      <c r="K6" s="309"/>
      <c r="L6" s="309"/>
      <c r="M6" s="309"/>
    </row>
    <row r="7" spans="1:18">
      <c r="A7" s="169" t="s">
        <v>389</v>
      </c>
      <c r="B7" s="169"/>
      <c r="D7" s="17"/>
      <c r="E7" s="47"/>
      <c r="F7" s="230"/>
      <c r="G7" s="4"/>
      <c r="I7" s="313"/>
      <c r="J7" s="310" t="s">
        <v>309</v>
      </c>
      <c r="K7" s="310">
        <v>100</v>
      </c>
      <c r="L7" s="310">
        <v>100</v>
      </c>
      <c r="M7" s="330">
        <v>1803865</v>
      </c>
    </row>
    <row r="8" spans="1:18">
      <c r="A8" s="169" t="s">
        <v>392</v>
      </c>
      <c r="B8" s="169"/>
      <c r="D8" s="17"/>
      <c r="E8" s="47"/>
      <c r="F8" s="230">
        <v>217890</v>
      </c>
      <c r="G8" s="4"/>
      <c r="I8" s="313"/>
      <c r="J8" s="311" t="s">
        <v>257</v>
      </c>
      <c r="K8" s="311">
        <v>100</v>
      </c>
      <c r="L8" s="311">
        <v>40000</v>
      </c>
      <c r="M8" s="331">
        <v>808457</v>
      </c>
    </row>
    <row r="9" spans="1:18">
      <c r="A9" s="169" t="s">
        <v>390</v>
      </c>
      <c r="B9" s="169"/>
      <c r="D9" s="17"/>
      <c r="E9" s="47"/>
      <c r="F9" s="230">
        <v>-4000000</v>
      </c>
      <c r="G9" s="4"/>
      <c r="I9" s="313"/>
      <c r="J9" s="310"/>
      <c r="K9" s="310"/>
      <c r="L9" s="310"/>
      <c r="M9" s="330"/>
    </row>
    <row r="10" spans="1:18">
      <c r="A10" s="169" t="s">
        <v>391</v>
      </c>
      <c r="B10" s="169"/>
      <c r="D10" s="17"/>
      <c r="E10" s="47"/>
      <c r="F10" s="230"/>
      <c r="G10" s="4"/>
      <c r="I10" s="313"/>
      <c r="J10" s="310"/>
      <c r="K10" s="310"/>
      <c r="L10" s="310"/>
      <c r="M10" s="330"/>
    </row>
    <row r="11" spans="1:18">
      <c r="A11" s="169"/>
      <c r="B11" s="169"/>
      <c r="D11" s="17"/>
      <c r="E11" s="47"/>
      <c r="F11" s="230"/>
      <c r="G11" s="4"/>
      <c r="I11" s="313"/>
      <c r="J11" s="312"/>
      <c r="K11" s="310"/>
      <c r="L11" s="310"/>
      <c r="M11" s="330"/>
    </row>
    <row r="12" spans="1:18">
      <c r="A12" s="16" t="s">
        <v>161</v>
      </c>
      <c r="B12" s="16"/>
      <c r="D12" s="12">
        <f>SUM(D6:D11)</f>
        <v>2612322</v>
      </c>
      <c r="E12" s="76"/>
      <c r="F12" s="12">
        <f>SUM(F6:F11)</f>
        <v>2612322</v>
      </c>
      <c r="G12" s="16"/>
      <c r="M12" s="12">
        <f>SUM(M7:M11)</f>
        <v>2612322</v>
      </c>
    </row>
    <row r="13" spans="1:18">
      <c r="M13" s="332">
        <f>+D12-M12</f>
        <v>0</v>
      </c>
      <c r="N13" s="75" t="s">
        <v>398</v>
      </c>
    </row>
    <row r="16" spans="1:18" ht="15.6">
      <c r="A16" s="9" t="s">
        <v>407</v>
      </c>
    </row>
    <row r="17" spans="1:7">
      <c r="A17" s="318"/>
    </row>
    <row r="18" spans="1:7">
      <c r="A18" s="319" t="s">
        <v>399</v>
      </c>
    </row>
    <row r="19" spans="1:7">
      <c r="A19" s="315" t="s">
        <v>409</v>
      </c>
    </row>
    <row r="20" spans="1:7">
      <c r="A20" s="320"/>
    </row>
    <row r="21" spans="1:7">
      <c r="A21" s="315"/>
    </row>
    <row r="24" spans="1:7">
      <c r="A24" s="145" t="s">
        <v>151</v>
      </c>
      <c r="B24" s="145"/>
      <c r="C24" s="145"/>
      <c r="D24" s="8">
        <f>+D3</f>
        <v>46022</v>
      </c>
      <c r="E24" s="314"/>
      <c r="F24" s="8">
        <f>+F3</f>
        <v>45657</v>
      </c>
      <c r="G24" s="8"/>
    </row>
    <row r="25" spans="1:7">
      <c r="A25" s="316" t="s">
        <v>399</v>
      </c>
      <c r="D25" s="316" t="s">
        <v>399</v>
      </c>
      <c r="F25" s="316" t="s">
        <v>399</v>
      </c>
    </row>
    <row r="26" spans="1:7">
      <c r="A26" s="169" t="s">
        <v>400</v>
      </c>
      <c r="D26" s="317" t="s">
        <v>399</v>
      </c>
      <c r="F26" s="317" t="s">
        <v>399</v>
      </c>
    </row>
    <row r="27" spans="1:7">
      <c r="A27" s="169" t="s">
        <v>399</v>
      </c>
      <c r="D27" s="316" t="s">
        <v>399</v>
      </c>
      <c r="F27" s="316" t="s">
        <v>399</v>
      </c>
    </row>
    <row r="28" spans="1:7">
      <c r="A28" s="169" t="s">
        <v>12</v>
      </c>
      <c r="D28" s="322" t="s">
        <v>399</v>
      </c>
      <c r="F28" s="321">
        <v>0</v>
      </c>
    </row>
    <row r="29" spans="1:7">
      <c r="A29" s="169" t="s">
        <v>401</v>
      </c>
      <c r="D29" s="322" t="s">
        <v>399</v>
      </c>
      <c r="F29" s="321">
        <v>0</v>
      </c>
    </row>
    <row r="30" spans="1:7">
      <c r="A30" s="169" t="s">
        <v>402</v>
      </c>
      <c r="D30" s="322" t="s">
        <v>399</v>
      </c>
      <c r="F30" s="321">
        <v>0</v>
      </c>
    </row>
    <row r="31" spans="1:7">
      <c r="A31" s="169" t="s">
        <v>13</v>
      </c>
      <c r="D31" s="322" t="s">
        <v>399</v>
      </c>
      <c r="F31" s="321">
        <v>0</v>
      </c>
    </row>
    <row r="32" spans="1:7">
      <c r="A32" s="169" t="s">
        <v>215</v>
      </c>
      <c r="D32" s="322" t="s">
        <v>399</v>
      </c>
      <c r="F32" s="321">
        <v>0</v>
      </c>
    </row>
    <row r="33" spans="1:6">
      <c r="A33" s="324" t="s">
        <v>403</v>
      </c>
      <c r="D33" s="326" t="s">
        <v>399</v>
      </c>
      <c r="F33" s="327">
        <v>0</v>
      </c>
    </row>
    <row r="34" spans="1:6">
      <c r="A34" s="323" t="s">
        <v>404</v>
      </c>
      <c r="D34" s="325">
        <f>SUM(D28:D33)</f>
        <v>0</v>
      </c>
      <c r="F34" s="325">
        <v>0</v>
      </c>
    </row>
    <row r="35" spans="1:6">
      <c r="A35" s="316" t="s">
        <v>399</v>
      </c>
      <c r="D35" s="316" t="s">
        <v>399</v>
      </c>
      <c r="F35" s="316" t="s">
        <v>399</v>
      </c>
    </row>
    <row r="36" spans="1:6">
      <c r="A36" s="324" t="s">
        <v>405</v>
      </c>
      <c r="D36" s="328" t="s">
        <v>399</v>
      </c>
      <c r="F36" s="328">
        <v>0</v>
      </c>
    </row>
    <row r="37" spans="1:6">
      <c r="A37" s="323" t="s">
        <v>406</v>
      </c>
      <c r="D37" s="325" t="str">
        <f>+D36</f>
        <v xml:space="preserve"> </v>
      </c>
      <c r="F37" s="325">
        <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9B047-1AC7-4EFC-87D3-F3F294C5A0F6}">
  <dimension ref="A1:E50"/>
  <sheetViews>
    <sheetView showGridLines="0" topLeftCell="A25" workbookViewId="0">
      <selection activeCell="D25" sqref="D25"/>
    </sheetView>
  </sheetViews>
  <sheetFormatPr defaultRowHeight="14.4"/>
  <cols>
    <col min="1" max="1" width="45.21875" customWidth="1"/>
    <col min="2" max="2" width="14.77734375" customWidth="1"/>
    <col min="3" max="4" width="21.5546875" bestFit="1" customWidth="1"/>
    <col min="5" max="5" width="23.77734375" bestFit="1" customWidth="1"/>
    <col min="7" max="7" width="5.44140625" customWidth="1"/>
    <col min="8" max="8" width="3.21875" customWidth="1"/>
  </cols>
  <sheetData>
    <row r="1" spans="1:5" ht="15.6">
      <c r="A1" s="9" t="s">
        <v>361</v>
      </c>
      <c r="C1" s="16" t="str">
        <f>+Start!B3</f>
        <v>Omegapoint Malmö AB (Ink E.Syd)</v>
      </c>
    </row>
    <row r="3" spans="1:5" ht="15.6">
      <c r="A3" s="9"/>
      <c r="C3" s="10"/>
      <c r="D3" s="10"/>
    </row>
    <row r="4" spans="1:5" ht="15.6">
      <c r="A4" s="9"/>
      <c r="C4" s="10"/>
    </row>
    <row r="5" spans="1:5" s="65" customFormat="1">
      <c r="A5" s="145" t="s">
        <v>151</v>
      </c>
      <c r="B5" s="145"/>
      <c r="C5" s="8">
        <f>+Start!G3</f>
        <v>46022</v>
      </c>
      <c r="D5" s="145"/>
      <c r="E5" s="145"/>
    </row>
    <row r="6" spans="1:5" ht="7.95" customHeight="1"/>
    <row r="7" spans="1:5" ht="18.600000000000001" customHeight="1">
      <c r="A7" t="s">
        <v>157</v>
      </c>
      <c r="B7" s="15"/>
      <c r="C7" s="47"/>
      <c r="D7" s="4"/>
      <c r="E7" s="4"/>
    </row>
    <row r="8" spans="1:5">
      <c r="A8" s="169" t="s">
        <v>158</v>
      </c>
      <c r="C8" s="4">
        <f>+C40</f>
        <v>1798</v>
      </c>
    </row>
    <row r="9" spans="1:5">
      <c r="A9" s="169" t="s">
        <v>232</v>
      </c>
      <c r="C9" s="1"/>
    </row>
    <row r="10" spans="1:5">
      <c r="A10" s="169" t="s">
        <v>299</v>
      </c>
      <c r="C10" s="1"/>
    </row>
    <row r="11" spans="1:5">
      <c r="A11" s="169" t="s">
        <v>300</v>
      </c>
      <c r="C11" s="1"/>
    </row>
    <row r="12" spans="1:5">
      <c r="A12" s="169" t="s">
        <v>159</v>
      </c>
      <c r="C12" s="1"/>
    </row>
    <row r="13" spans="1:5">
      <c r="A13" s="169" t="s">
        <v>235</v>
      </c>
      <c r="C13" s="1"/>
    </row>
    <row r="14" spans="1:5">
      <c r="A14" s="169" t="s">
        <v>236</v>
      </c>
      <c r="C14" s="1"/>
    </row>
    <row r="15" spans="1:5">
      <c r="A15" s="169" t="s">
        <v>160</v>
      </c>
      <c r="C15" s="1"/>
    </row>
    <row r="16" spans="1:5">
      <c r="A16" s="16" t="s">
        <v>161</v>
      </c>
      <c r="C16" s="16">
        <f>SUM(C8:C15)</f>
        <v>1798</v>
      </c>
    </row>
    <row r="18" spans="1:5">
      <c r="D18" s="472"/>
      <c r="E18" s="472"/>
    </row>
    <row r="19" spans="1:5">
      <c r="D19" s="192"/>
      <c r="E19" s="192"/>
    </row>
    <row r="20" spans="1:5">
      <c r="A20" s="65" t="s">
        <v>189</v>
      </c>
      <c r="B20" s="65" t="s">
        <v>225</v>
      </c>
      <c r="D20" t="s">
        <v>196</v>
      </c>
      <c r="E20" t="s">
        <v>224</v>
      </c>
    </row>
    <row r="21" spans="1:5">
      <c r="A21" s="190" t="s">
        <v>448</v>
      </c>
      <c r="B21" s="1" t="s">
        <v>449</v>
      </c>
      <c r="D21" s="191">
        <v>62</v>
      </c>
      <c r="E21" s="1">
        <v>1798.9938</v>
      </c>
    </row>
    <row r="22" spans="1:5">
      <c r="A22" s="190"/>
      <c r="B22" s="1"/>
      <c r="D22" s="191"/>
      <c r="E22" s="1"/>
    </row>
    <row r="24" spans="1:5">
      <c r="D24" t="s">
        <v>223</v>
      </c>
      <c r="E24" s="4"/>
    </row>
    <row r="25" spans="1:5">
      <c r="D25" s="1">
        <f>+D49</f>
        <v>0.124</v>
      </c>
      <c r="E25" s="4"/>
    </row>
    <row r="26" spans="1:5">
      <c r="D26" s="1"/>
    </row>
    <row r="29" spans="1:5">
      <c r="A29" s="145" t="s">
        <v>151</v>
      </c>
      <c r="B29" s="145"/>
      <c r="C29" s="8">
        <f>+Start!F3</f>
        <v>45657</v>
      </c>
      <c r="D29" s="145"/>
      <c r="E29" s="145"/>
    </row>
    <row r="31" spans="1:5">
      <c r="A31" t="s">
        <v>157</v>
      </c>
      <c r="B31" s="15"/>
      <c r="C31" s="47"/>
      <c r="D31" s="4"/>
      <c r="E31" s="4"/>
    </row>
    <row r="32" spans="1:5">
      <c r="A32" s="169" t="s">
        <v>158</v>
      </c>
      <c r="C32" s="4"/>
    </row>
    <row r="33" spans="1:5">
      <c r="A33" s="169" t="s">
        <v>232</v>
      </c>
      <c r="C33" s="2"/>
    </row>
    <row r="34" spans="1:5">
      <c r="A34" s="169" t="s">
        <v>233</v>
      </c>
      <c r="C34" s="2">
        <v>1798</v>
      </c>
    </row>
    <row r="35" spans="1:5">
      <c r="A35" s="169" t="s">
        <v>234</v>
      </c>
      <c r="C35" s="2"/>
    </row>
    <row r="36" spans="1:5">
      <c r="A36" s="169" t="s">
        <v>159</v>
      </c>
      <c r="C36" s="2"/>
    </row>
    <row r="37" spans="1:5">
      <c r="A37" s="169" t="s">
        <v>235</v>
      </c>
      <c r="C37" s="2"/>
    </row>
    <row r="38" spans="1:5">
      <c r="A38" s="169" t="s">
        <v>236</v>
      </c>
      <c r="C38" s="2"/>
    </row>
    <row r="39" spans="1:5">
      <c r="A39" s="169" t="s">
        <v>160</v>
      </c>
      <c r="C39" s="2"/>
    </row>
    <row r="40" spans="1:5">
      <c r="A40" s="16" t="s">
        <v>161</v>
      </c>
      <c r="C40" s="16">
        <f>SUM(C32:C39)</f>
        <v>1798</v>
      </c>
    </row>
    <row r="42" spans="1:5">
      <c r="D42" s="472"/>
      <c r="E42" s="472"/>
    </row>
    <row r="43" spans="1:5">
      <c r="D43" s="192"/>
      <c r="E43" s="192"/>
    </row>
    <row r="44" spans="1:5">
      <c r="A44" s="65" t="s">
        <v>189</v>
      </c>
      <c r="B44" s="65" t="s">
        <v>225</v>
      </c>
      <c r="D44" t="s">
        <v>196</v>
      </c>
      <c r="E44" t="s">
        <v>224</v>
      </c>
    </row>
    <row r="45" spans="1:5">
      <c r="A45" s="249" t="s">
        <v>448</v>
      </c>
      <c r="B45" s="2" t="s">
        <v>449</v>
      </c>
      <c r="D45" s="250">
        <v>62</v>
      </c>
      <c r="E45" s="2">
        <v>1798.9938</v>
      </c>
    </row>
    <row r="46" spans="1:5">
      <c r="A46" s="249"/>
      <c r="B46" s="2"/>
      <c r="D46" s="250"/>
      <c r="E46" s="2"/>
    </row>
    <row r="48" spans="1:5">
      <c r="D48" t="s">
        <v>223</v>
      </c>
      <c r="E48" s="4"/>
    </row>
    <row r="49" spans="4:5">
      <c r="D49" s="3">
        <v>0.124</v>
      </c>
      <c r="E49" s="4"/>
    </row>
    <row r="50" spans="4:5">
      <c r="D50" s="2"/>
    </row>
  </sheetData>
  <mergeCells count="2">
    <mergeCell ref="D18:E18"/>
    <mergeCell ref="D42:E42"/>
  </mergeCells>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40ECA-6141-4E00-9D1A-06D6C36F3ADE}">
  <dimension ref="A1:H45"/>
  <sheetViews>
    <sheetView showGridLines="0" workbookViewId="0">
      <selection activeCell="A2" sqref="A2"/>
    </sheetView>
  </sheetViews>
  <sheetFormatPr defaultRowHeight="14.4"/>
  <cols>
    <col min="1" max="1" width="47.77734375" bestFit="1" customWidth="1"/>
    <col min="2" max="2" width="22" customWidth="1"/>
    <col min="4" max="4" width="21.5546875" bestFit="1" customWidth="1"/>
    <col min="5" max="5" width="24.21875" bestFit="1" customWidth="1"/>
    <col min="8" max="8" width="6.21875" customWidth="1"/>
  </cols>
  <sheetData>
    <row r="1" spans="1:8" ht="18">
      <c r="A1" s="9" t="s">
        <v>362</v>
      </c>
      <c r="B1" s="5"/>
      <c r="D1" s="16" t="str">
        <f>+Start!B3</f>
        <v>Omegapoint Malmö AB (Ink E.Syd)</v>
      </c>
    </row>
    <row r="3" spans="1:8" ht="15.6">
      <c r="A3" s="9"/>
      <c r="B3" s="9"/>
      <c r="D3" s="10"/>
      <c r="E3" s="10"/>
    </row>
    <row r="4" spans="1:8" ht="15.6">
      <c r="A4" s="9"/>
      <c r="B4" s="9"/>
      <c r="D4" s="10"/>
      <c r="E4" s="10"/>
    </row>
    <row r="5" spans="1:8" s="65" customFormat="1">
      <c r="A5" s="145" t="s">
        <v>151</v>
      </c>
      <c r="B5" s="145"/>
      <c r="C5" s="145"/>
      <c r="D5" s="473">
        <f>+Start!G3</f>
        <v>46022</v>
      </c>
      <c r="E5" s="473"/>
      <c r="F5"/>
      <c r="G5"/>
    </row>
    <row r="6" spans="1:8" ht="7.95" customHeight="1"/>
    <row r="7" spans="1:8" ht="27.75" customHeight="1">
      <c r="A7" s="65" t="s">
        <v>191</v>
      </c>
      <c r="B7" s="65"/>
      <c r="C7" s="186"/>
      <c r="D7" s="126" t="s">
        <v>190</v>
      </c>
      <c r="E7" s="126" t="s">
        <v>192</v>
      </c>
    </row>
    <row r="8" spans="1:8">
      <c r="A8" s="185"/>
      <c r="B8" s="185"/>
      <c r="D8" s="188"/>
      <c r="E8" s="1"/>
    </row>
    <row r="9" spans="1:8">
      <c r="A9" s="185"/>
      <c r="B9" s="185"/>
      <c r="D9" s="188"/>
      <c r="E9" s="1"/>
    </row>
    <row r="10" spans="1:8">
      <c r="A10" s="185"/>
      <c r="B10" s="185"/>
      <c r="D10" s="188"/>
      <c r="E10" s="1"/>
    </row>
    <row r="11" spans="1:8">
      <c r="A11" s="185"/>
      <c r="B11" s="185"/>
      <c r="D11" s="188"/>
      <c r="E11" s="1"/>
      <c r="H11" s="187"/>
    </row>
    <row r="12" spans="1:8">
      <c r="A12" s="16" t="s">
        <v>161</v>
      </c>
      <c r="B12" s="16"/>
      <c r="D12" s="189">
        <f>SUM(D8:D11)</f>
        <v>0</v>
      </c>
      <c r="E12" s="16">
        <f>SUM(E8:E11)</f>
        <v>0</v>
      </c>
    </row>
    <row r="16" spans="1:8">
      <c r="D16" s="204">
        <f>+D5</f>
        <v>46022</v>
      </c>
    </row>
    <row r="17" spans="1:5">
      <c r="D17" s="204"/>
    </row>
    <row r="18" spans="1:5">
      <c r="A18" t="s">
        <v>189</v>
      </c>
      <c r="B18" t="s">
        <v>225</v>
      </c>
      <c r="D18" t="s">
        <v>196</v>
      </c>
    </row>
    <row r="19" spans="1:5">
      <c r="A19" s="190"/>
      <c r="B19" s="1"/>
      <c r="D19" s="191"/>
    </row>
    <row r="20" spans="1:5">
      <c r="A20" s="190"/>
      <c r="B20" s="1"/>
      <c r="D20" s="191"/>
    </row>
    <row r="22" spans="1:5">
      <c r="D22" t="s">
        <v>223</v>
      </c>
    </row>
    <row r="23" spans="1:5">
      <c r="D23" s="1"/>
      <c r="E23" s="4"/>
    </row>
    <row r="24" spans="1:5">
      <c r="D24" s="1"/>
      <c r="E24" s="4"/>
    </row>
    <row r="26" spans="1:5" ht="26.25" customHeight="1">
      <c r="A26" s="145" t="s">
        <v>151</v>
      </c>
      <c r="B26" s="145"/>
      <c r="C26" s="145"/>
      <c r="D26" s="473">
        <f>+Start!F3</f>
        <v>45657</v>
      </c>
      <c r="E26" s="473"/>
    </row>
    <row r="28" spans="1:5">
      <c r="A28" s="65" t="s">
        <v>191</v>
      </c>
      <c r="B28" s="65"/>
      <c r="C28" s="186"/>
      <c r="D28" s="126" t="s">
        <v>190</v>
      </c>
      <c r="E28" s="126" t="s">
        <v>192</v>
      </c>
    </row>
    <row r="29" spans="1:5">
      <c r="A29" s="251"/>
      <c r="B29" s="251"/>
      <c r="D29" s="252"/>
      <c r="E29" s="2"/>
    </row>
    <row r="30" spans="1:5">
      <c r="A30" s="251"/>
      <c r="B30" s="251"/>
      <c r="D30" s="252"/>
      <c r="E30" s="2"/>
    </row>
    <row r="31" spans="1:5">
      <c r="A31" s="251"/>
      <c r="B31" s="251"/>
      <c r="D31" s="252"/>
      <c r="E31" s="2"/>
    </row>
    <row r="32" spans="1:5">
      <c r="A32" s="251"/>
      <c r="B32" s="251"/>
      <c r="D32" s="252"/>
      <c r="E32" s="2"/>
    </row>
    <row r="33" spans="1:5">
      <c r="A33" s="16" t="s">
        <v>161</v>
      </c>
      <c r="B33" s="16"/>
      <c r="D33" s="189">
        <f>SUM(D29:D32)</f>
        <v>0</v>
      </c>
      <c r="E33" s="16">
        <f>SUM(E29:E32)</f>
        <v>0</v>
      </c>
    </row>
    <row r="37" spans="1:5">
      <c r="D37" s="204">
        <f>+D26</f>
        <v>45657</v>
      </c>
    </row>
    <row r="38" spans="1:5">
      <c r="D38" s="204"/>
    </row>
    <row r="39" spans="1:5">
      <c r="A39" t="s">
        <v>189</v>
      </c>
      <c r="B39" t="s">
        <v>225</v>
      </c>
      <c r="D39" t="s">
        <v>196</v>
      </c>
    </row>
    <row r="40" spans="1:5">
      <c r="A40" s="249"/>
      <c r="B40" s="2"/>
      <c r="D40" s="250"/>
    </row>
    <row r="41" spans="1:5">
      <c r="A41" s="249"/>
      <c r="B41" s="2"/>
      <c r="D41" s="250"/>
    </row>
    <row r="43" spans="1:5">
      <c r="D43" t="s">
        <v>223</v>
      </c>
    </row>
    <row r="44" spans="1:5">
      <c r="D44" s="2"/>
      <c r="E44" s="4"/>
    </row>
    <row r="45" spans="1:5">
      <c r="D45" s="2"/>
      <c r="E45" s="4"/>
    </row>
  </sheetData>
  <mergeCells count="2">
    <mergeCell ref="D5:E5"/>
    <mergeCell ref="D26:E2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7A3B-1381-4BFE-8D7C-12101400F885}">
  <dimension ref="A1:P12"/>
  <sheetViews>
    <sheetView showGridLines="0" workbookViewId="0">
      <selection activeCell="A2" sqref="A2"/>
    </sheetView>
  </sheetViews>
  <sheetFormatPr defaultRowHeight="14.4"/>
  <cols>
    <col min="1" max="1" width="47.77734375" bestFit="1" customWidth="1"/>
    <col min="3" max="3" width="21.5546875" bestFit="1" customWidth="1"/>
    <col min="5" max="5" width="21.5546875" bestFit="1" customWidth="1"/>
  </cols>
  <sheetData>
    <row r="1" spans="1:16" ht="15.6">
      <c r="A1" s="9" t="s">
        <v>363</v>
      </c>
      <c r="C1" s="16" t="str">
        <f>+Start!B3</f>
        <v>Omegapoint Malmö AB (Ink E.Syd)</v>
      </c>
      <c r="D1" s="16"/>
      <c r="E1" s="16" t="str">
        <f>+C1</f>
        <v>Omegapoint Malmö AB (Ink E.Syd)</v>
      </c>
    </row>
    <row r="3" spans="1:16" ht="15.6">
      <c r="A3" s="9"/>
      <c r="C3" s="10"/>
      <c r="E3" s="10"/>
    </row>
    <row r="4" spans="1:16" ht="15.6">
      <c r="A4" s="9"/>
      <c r="C4" s="10"/>
      <c r="E4" s="10"/>
    </row>
    <row r="5" spans="1:16" s="65" customFormat="1">
      <c r="A5" s="145" t="s">
        <v>151</v>
      </c>
      <c r="B5" s="145"/>
      <c r="C5" s="8">
        <f>+Start!G3</f>
        <v>46022</v>
      </c>
      <c r="D5" s="145"/>
      <c r="E5" s="8">
        <f>+Start!F3</f>
        <v>45657</v>
      </c>
      <c r="K5"/>
      <c r="L5"/>
      <c r="M5"/>
      <c r="N5"/>
      <c r="O5"/>
      <c r="P5"/>
    </row>
    <row r="6" spans="1:16" ht="7.95" customHeight="1"/>
    <row r="7" spans="1:16" ht="18.600000000000001" customHeight="1">
      <c r="A7" t="s">
        <v>157</v>
      </c>
      <c r="B7" s="15"/>
      <c r="C7" s="47"/>
      <c r="D7" s="170"/>
      <c r="E7" s="47"/>
      <c r="F7" s="4"/>
    </row>
    <row r="8" spans="1:16">
      <c r="A8" s="169" t="s">
        <v>158</v>
      </c>
      <c r="C8" s="4">
        <f>+E12</f>
        <v>0</v>
      </c>
      <c r="E8" s="2"/>
    </row>
    <row r="9" spans="1:16">
      <c r="A9" s="169" t="s">
        <v>162</v>
      </c>
      <c r="C9" s="1"/>
      <c r="E9" s="2"/>
    </row>
    <row r="10" spans="1:16">
      <c r="A10" s="169" t="s">
        <v>159</v>
      </c>
      <c r="C10" s="1"/>
      <c r="E10" s="2"/>
    </row>
    <row r="11" spans="1:16">
      <c r="A11" s="169" t="s">
        <v>160</v>
      </c>
      <c r="C11" s="1"/>
      <c r="E11" s="2"/>
    </row>
    <row r="12" spans="1:16">
      <c r="A12" s="16" t="s">
        <v>161</v>
      </c>
      <c r="C12" s="16">
        <f>SUM(C8:C11)</f>
        <v>0</v>
      </c>
      <c r="E12" s="16">
        <f>SUM(E8:E11)</f>
        <v>0</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221F7-8C99-4ECA-8E3B-64C713DA570F}">
  <dimension ref="A1:P12"/>
  <sheetViews>
    <sheetView showGridLines="0" workbookViewId="0">
      <selection activeCell="A2" sqref="A2"/>
    </sheetView>
  </sheetViews>
  <sheetFormatPr defaultRowHeight="14.4"/>
  <cols>
    <col min="1" max="1" width="47.77734375" bestFit="1" customWidth="1"/>
    <col min="3" max="3" width="21.5546875" bestFit="1" customWidth="1"/>
    <col min="5" max="5" width="21.5546875" bestFit="1" customWidth="1"/>
  </cols>
  <sheetData>
    <row r="1" spans="1:16" ht="15.6">
      <c r="A1" s="9" t="s">
        <v>364</v>
      </c>
      <c r="C1" s="16" t="str">
        <f>+Start!B3</f>
        <v>Omegapoint Malmö AB (Ink E.Syd)</v>
      </c>
      <c r="D1" s="16"/>
      <c r="E1" s="16" t="str">
        <f>+C1</f>
        <v>Omegapoint Malmö AB (Ink E.Syd)</v>
      </c>
    </row>
    <row r="3" spans="1:16" ht="15.6">
      <c r="A3" s="9"/>
      <c r="C3" s="10"/>
      <c r="E3" s="10"/>
    </row>
    <row r="4" spans="1:16" ht="15.6">
      <c r="A4" s="9"/>
      <c r="C4" s="10"/>
      <c r="E4" s="10"/>
    </row>
    <row r="5" spans="1:16" s="65" customFormat="1">
      <c r="A5" s="145" t="s">
        <v>151</v>
      </c>
      <c r="B5" s="145"/>
      <c r="C5" s="8">
        <f>+Start!G3</f>
        <v>46022</v>
      </c>
      <c r="D5" s="145"/>
      <c r="E5" s="8">
        <f>+Start!F3</f>
        <v>45657</v>
      </c>
      <c r="L5"/>
      <c r="M5"/>
      <c r="N5"/>
      <c r="O5"/>
      <c r="P5"/>
    </row>
    <row r="6" spans="1:16" ht="7.95" customHeight="1"/>
    <row r="7" spans="1:16" ht="18.600000000000001" customHeight="1">
      <c r="A7" t="s">
        <v>157</v>
      </c>
      <c r="B7" s="15"/>
      <c r="C7" s="47"/>
      <c r="D7" s="170"/>
      <c r="E7" s="47"/>
      <c r="F7" s="4"/>
    </row>
    <row r="8" spans="1:16">
      <c r="A8" s="169" t="s">
        <v>158</v>
      </c>
      <c r="C8" s="4">
        <f>+E12</f>
        <v>0</v>
      </c>
      <c r="E8" s="2"/>
    </row>
    <row r="9" spans="1:16">
      <c r="A9" s="169" t="s">
        <v>187</v>
      </c>
      <c r="C9" s="1"/>
      <c r="E9" s="2"/>
    </row>
    <row r="10" spans="1:16">
      <c r="A10" s="169" t="s">
        <v>159</v>
      </c>
      <c r="C10" s="1"/>
      <c r="E10" s="2"/>
    </row>
    <row r="11" spans="1:16">
      <c r="A11" s="169" t="s">
        <v>160</v>
      </c>
      <c r="C11" s="1"/>
      <c r="E11" s="2"/>
    </row>
    <row r="12" spans="1:16">
      <c r="A12" s="16" t="s">
        <v>161</v>
      </c>
      <c r="C12" s="16">
        <f>SUM(C8:C11)</f>
        <v>0</v>
      </c>
      <c r="E12" s="16">
        <f>SUM(E8:E11)</f>
        <v>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83A3-F9B5-40BF-831B-08E9BF74348C}">
  <dimension ref="A1:F34"/>
  <sheetViews>
    <sheetView showGridLines="0" topLeftCell="A3" workbookViewId="0">
      <selection activeCell="A2" sqref="A2"/>
    </sheetView>
  </sheetViews>
  <sheetFormatPr defaultRowHeight="14.4"/>
  <cols>
    <col min="1" max="1" width="47.77734375" bestFit="1" customWidth="1"/>
    <col min="3" max="3" width="21.5546875" bestFit="1" customWidth="1"/>
    <col min="5" max="5" width="21.5546875" bestFit="1" customWidth="1"/>
  </cols>
  <sheetData>
    <row r="1" spans="1:6" ht="15.6">
      <c r="A1" s="9" t="s">
        <v>365</v>
      </c>
      <c r="C1" s="16" t="str">
        <f>+Start!B3</f>
        <v>Omegapoint Malmö AB (Ink E.Syd)</v>
      </c>
      <c r="D1" s="16"/>
      <c r="E1" s="16" t="str">
        <f>+C1</f>
        <v>Omegapoint Malmö AB (Ink E.Syd)</v>
      </c>
    </row>
    <row r="3" spans="1:6" ht="15.6">
      <c r="A3" s="9"/>
      <c r="C3" s="10"/>
      <c r="E3" s="10"/>
    </row>
    <row r="4" spans="1:6" ht="15.6">
      <c r="A4" s="9"/>
      <c r="C4" s="10"/>
      <c r="E4" s="10"/>
    </row>
    <row r="5" spans="1:6" s="65" customFormat="1">
      <c r="A5" s="145" t="s">
        <v>151</v>
      </c>
      <c r="B5" s="145"/>
      <c r="C5" s="8">
        <f>+Start!G3</f>
        <v>46022</v>
      </c>
      <c r="D5" s="145"/>
      <c r="E5" s="8">
        <f>+Start!F3</f>
        <v>45657</v>
      </c>
    </row>
    <row r="6" spans="1:6" ht="7.95" customHeight="1"/>
    <row r="7" spans="1:6" ht="18.600000000000001" customHeight="1">
      <c r="A7" s="16" t="s">
        <v>215</v>
      </c>
      <c r="C7" s="1"/>
      <c r="E7" s="2"/>
      <c r="F7" s="4"/>
    </row>
    <row r="8" spans="1:6" ht="18.600000000000001" customHeight="1">
      <c r="A8" t="s">
        <v>214</v>
      </c>
      <c r="C8" s="1"/>
      <c r="E8" s="2"/>
      <c r="F8" s="4"/>
    </row>
    <row r="9" spans="1:6">
      <c r="A9" s="16" t="s">
        <v>219</v>
      </c>
      <c r="C9" s="16">
        <f>SUM(C7:C8)</f>
        <v>0</v>
      </c>
      <c r="E9" s="16">
        <f>SUM(E7:E8)</f>
        <v>0</v>
      </c>
    </row>
    <row r="11" spans="1:6">
      <c r="A11" s="16" t="s">
        <v>216</v>
      </c>
    </row>
    <row r="12" spans="1:6">
      <c r="A12" t="s">
        <v>217</v>
      </c>
      <c r="C12" s="1"/>
      <c r="E12" s="2"/>
    </row>
    <row r="13" spans="1:6">
      <c r="A13" t="s">
        <v>214</v>
      </c>
      <c r="C13" s="1"/>
      <c r="E13" s="2"/>
    </row>
    <row r="14" spans="1:6">
      <c r="A14" s="16" t="s">
        <v>218</v>
      </c>
      <c r="C14" s="16">
        <f>SUM(C12:C13)</f>
        <v>0</v>
      </c>
      <c r="E14" s="16">
        <f>SUM(E12:E13)</f>
        <v>0</v>
      </c>
    </row>
    <row r="16" spans="1:6">
      <c r="A16" s="7"/>
      <c r="B16" s="7"/>
      <c r="C16" s="7"/>
      <c r="D16" s="7"/>
      <c r="E16" s="7"/>
    </row>
    <row r="18" spans="1:5">
      <c r="A18" s="16" t="s">
        <v>214</v>
      </c>
      <c r="B18" s="15"/>
      <c r="C18" s="47"/>
      <c r="D18" s="170"/>
      <c r="E18" s="47"/>
    </row>
    <row r="19" spans="1:5">
      <c r="A19" t="s">
        <v>164</v>
      </c>
      <c r="C19" s="1"/>
      <c r="E19" s="2"/>
    </row>
    <row r="20" spans="1:5">
      <c r="A20" t="s">
        <v>165</v>
      </c>
      <c r="C20" s="1"/>
      <c r="E20" s="2"/>
    </row>
    <row r="21" spans="1:5">
      <c r="A21" t="s">
        <v>166</v>
      </c>
      <c r="C21" s="1"/>
      <c r="E21" s="2"/>
    </row>
    <row r="22" spans="1:5">
      <c r="A22" s="16" t="s">
        <v>161</v>
      </c>
      <c r="C22" s="16">
        <f>SUM(C19:C21)</f>
        <v>0</v>
      </c>
      <c r="E22" s="16">
        <f>SUM(E19:E21)</f>
        <v>0</v>
      </c>
    </row>
    <row r="24" spans="1:5">
      <c r="A24" s="16" t="s">
        <v>220</v>
      </c>
    </row>
    <row r="25" spans="1:5">
      <c r="A25" t="s">
        <v>167</v>
      </c>
      <c r="C25" s="1"/>
      <c r="E25" s="2"/>
    </row>
    <row r="26" spans="1:5">
      <c r="A26" t="s">
        <v>168</v>
      </c>
      <c r="C26" s="1"/>
      <c r="E26" s="2"/>
    </row>
    <row r="27" spans="1:5">
      <c r="A27" s="16" t="s">
        <v>161</v>
      </c>
      <c r="C27" s="16">
        <f>SUM(C25:C26)</f>
        <v>0</v>
      </c>
      <c r="E27" s="16">
        <f>SUM(E25:E26)</f>
        <v>0</v>
      </c>
    </row>
    <row r="29" spans="1:5">
      <c r="A29" s="16" t="s">
        <v>289</v>
      </c>
    </row>
    <row r="30" spans="1:5">
      <c r="A30" t="s">
        <v>167</v>
      </c>
      <c r="C30" s="1"/>
      <c r="E30" s="2"/>
    </row>
    <row r="31" spans="1:5">
      <c r="A31" t="s">
        <v>168</v>
      </c>
      <c r="C31" s="1"/>
      <c r="E31" s="2"/>
    </row>
    <row r="32" spans="1:5">
      <c r="A32" s="16" t="s">
        <v>161</v>
      </c>
      <c r="C32" s="16">
        <f>SUM(C30:C31)</f>
        <v>0</v>
      </c>
      <c r="E32" s="16">
        <f>SUM(E30:E31)</f>
        <v>0</v>
      </c>
    </row>
    <row r="34" spans="3:5">
      <c r="C34" s="75">
        <f>+C12-C27</f>
        <v>0</v>
      </c>
      <c r="E34" s="75">
        <f>+E12-E27</f>
        <v>0</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DC25-60B7-4031-AAE3-9D7AEE16D8A7}">
  <dimension ref="A1:J26"/>
  <sheetViews>
    <sheetView showGridLines="0" workbookViewId="0">
      <selection activeCell="H11" sqref="H11"/>
    </sheetView>
  </sheetViews>
  <sheetFormatPr defaultRowHeight="14.4"/>
  <cols>
    <col min="2" max="2" width="20.21875" customWidth="1"/>
    <col min="8" max="8" width="21.5546875" bestFit="1" customWidth="1"/>
    <col min="9" max="9" width="3.77734375" customWidth="1"/>
    <col min="10" max="10" width="21.5546875" bestFit="1" customWidth="1"/>
  </cols>
  <sheetData>
    <row r="1" spans="1:10" ht="15.6">
      <c r="A1" s="9" t="s">
        <v>369</v>
      </c>
      <c r="H1" s="16" t="str">
        <f>+Start!B3</f>
        <v>Omegapoint Malmö AB (Ink E.Syd)</v>
      </c>
      <c r="I1" s="16"/>
      <c r="J1" s="16" t="str">
        <f>+H1</f>
        <v>Omegapoint Malmö AB (Ink E.Syd)</v>
      </c>
    </row>
    <row r="5" spans="1:10" s="7" customFormat="1" ht="18">
      <c r="A5" s="127"/>
      <c r="H5" s="8">
        <f>+Start!G3</f>
        <v>46022</v>
      </c>
      <c r="I5" s="220"/>
      <c r="J5" s="8">
        <f>+Start!F3</f>
        <v>45657</v>
      </c>
    </row>
    <row r="6" spans="1:10" ht="18">
      <c r="A6" s="5"/>
      <c r="H6" s="6" t="s">
        <v>21</v>
      </c>
      <c r="I6" s="6"/>
      <c r="J6" s="6" t="s">
        <v>21</v>
      </c>
    </row>
    <row r="8" spans="1:10">
      <c r="A8" s="142" t="s">
        <v>152</v>
      </c>
      <c r="B8" s="7"/>
      <c r="C8" s="13"/>
      <c r="H8" s="4"/>
      <c r="J8" s="4"/>
    </row>
    <row r="9" spans="1:10">
      <c r="A9" t="s">
        <v>153</v>
      </c>
      <c r="B9" s="15"/>
      <c r="C9" s="11"/>
      <c r="H9" s="17">
        <v>1500000</v>
      </c>
      <c r="J9" s="230">
        <v>1500000</v>
      </c>
    </row>
    <row r="10" spans="1:10">
      <c r="A10" t="s">
        <v>239</v>
      </c>
      <c r="B10" s="15"/>
      <c r="C10" s="11"/>
      <c r="H10" s="17"/>
      <c r="J10" s="230"/>
    </row>
    <row r="11" spans="1:10">
      <c r="A11" t="s">
        <v>240</v>
      </c>
      <c r="B11" s="15"/>
      <c r="C11" s="11"/>
      <c r="H11" s="17"/>
      <c r="J11" s="230">
        <v>2612322</v>
      </c>
    </row>
    <row r="12" spans="1:10">
      <c r="A12" t="s">
        <v>51</v>
      </c>
      <c r="B12" s="15"/>
      <c r="C12" s="11"/>
      <c r="H12" s="17"/>
      <c r="J12" s="230"/>
    </row>
    <row r="13" spans="1:10" ht="10.5" customHeight="1">
      <c r="B13" s="15"/>
      <c r="C13" s="11"/>
      <c r="H13" s="47"/>
      <c r="I13" s="4"/>
      <c r="J13" s="47"/>
    </row>
    <row r="14" spans="1:10">
      <c r="A14" s="16" t="s">
        <v>154</v>
      </c>
      <c r="B14" s="15"/>
      <c r="C14" s="12"/>
      <c r="H14" s="76">
        <f>SUM(H9:H12)</f>
        <v>1500000</v>
      </c>
      <c r="I14" s="69"/>
      <c r="J14" s="76">
        <f>SUM(J9:J12)</f>
        <v>4112322</v>
      </c>
    </row>
    <row r="16" spans="1:10">
      <c r="A16" s="28" t="s">
        <v>366</v>
      </c>
      <c r="C16" s="13"/>
    </row>
    <row r="17" spans="1:10">
      <c r="A17" s="143"/>
      <c r="B17" s="40"/>
      <c r="C17" s="40"/>
    </row>
    <row r="18" spans="1:10">
      <c r="A18" t="s">
        <v>155</v>
      </c>
      <c r="C18" s="11"/>
      <c r="H18" s="1"/>
      <c r="J18" s="2"/>
    </row>
    <row r="19" spans="1:10">
      <c r="A19" t="s">
        <v>367</v>
      </c>
      <c r="C19" s="11"/>
      <c r="H19" s="1"/>
      <c r="J19" s="2"/>
    </row>
    <row r="20" spans="1:10">
      <c r="A20" t="s">
        <v>325</v>
      </c>
      <c r="C20" s="11"/>
      <c r="H20" s="17">
        <v>715000000</v>
      </c>
      <c r="J20" s="230">
        <v>743880000</v>
      </c>
    </row>
    <row r="21" spans="1:10">
      <c r="A21" t="s">
        <v>368</v>
      </c>
      <c r="C21" s="11"/>
      <c r="H21" s="1"/>
      <c r="J21" s="2"/>
    </row>
    <row r="22" spans="1:10" ht="9.75" customHeight="1">
      <c r="E22" s="10"/>
    </row>
    <row r="23" spans="1:10">
      <c r="A23" s="16" t="s">
        <v>156</v>
      </c>
      <c r="C23" s="12"/>
      <c r="E23" s="144"/>
      <c r="H23" s="69">
        <f>SUM(H18:H19)</f>
        <v>0</v>
      </c>
      <c r="I23" s="16"/>
      <c r="J23" s="69">
        <f>SUM(J18:J19)</f>
        <v>0</v>
      </c>
    </row>
    <row r="25" spans="1:10">
      <c r="A25" t="s">
        <v>326</v>
      </c>
    </row>
    <row r="26" spans="1:10">
      <c r="A26" t="s">
        <v>327</v>
      </c>
    </row>
  </sheetData>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eca7d32-ecce-483a-8856-2965e8ba61cb" xsi:nil="true"/>
    <lcf76f155ced4ddcb4097134ff3c332f xmlns="5be4157c-a9f8-4ab9-9914-ad58ab83321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8591329736734FAD117580A3000606" ma:contentTypeVersion="19" ma:contentTypeDescription="Create a new document." ma:contentTypeScope="" ma:versionID="dff745a47b495211ba468412503a96a4">
  <xsd:schema xmlns:xsd="http://www.w3.org/2001/XMLSchema" xmlns:xs="http://www.w3.org/2001/XMLSchema" xmlns:p="http://schemas.microsoft.com/office/2006/metadata/properties" xmlns:ns2="5be4157c-a9f8-4ab9-9914-ad58ab833217" xmlns:ns3="5eca7d32-ecce-483a-8856-2965e8ba61cb" targetNamespace="http://schemas.microsoft.com/office/2006/metadata/properties" ma:root="true" ma:fieldsID="7d4a9f2ac172198ae0cb6ab048edf35e" ns2:_="" ns3:_="">
    <xsd:import namespace="5be4157c-a9f8-4ab9-9914-ad58ab833217"/>
    <xsd:import namespace="5eca7d32-ecce-483a-8856-2965e8ba61c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e4157c-a9f8-4ab9-9914-ad58ab8332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15f026-b75e-4676-a984-c0dfaf84d0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ca7d32-ecce-483a-8856-2965e8ba61c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4a7f09-82f7-4856-9767-c9ec07db11f5}" ma:internalName="TaxCatchAll" ma:showField="CatchAllData" ma:web="5eca7d32-ecce-483a-8856-2965e8ba61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FC048-523E-4555-859A-4945432A4B73}">
  <ds:schemaRefs>
    <ds:schemaRef ds:uri="http://schemas.microsoft.com/office/2006/metadata/properties"/>
    <ds:schemaRef ds:uri="http://schemas.microsoft.com/office/infopath/2007/PartnerControls"/>
    <ds:schemaRef ds:uri="5eca7d32-ecce-483a-8856-2965e8ba61cb"/>
    <ds:schemaRef ds:uri="5be4157c-a9f8-4ab9-9914-ad58ab833217"/>
  </ds:schemaRefs>
</ds:datastoreItem>
</file>

<file path=customXml/itemProps2.xml><?xml version="1.0" encoding="utf-8"?>
<ds:datastoreItem xmlns:ds="http://schemas.openxmlformats.org/officeDocument/2006/customXml" ds:itemID="{AA8EB458-6CC6-4EC7-AE1F-C36E130069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e4157c-a9f8-4ab9-9914-ad58ab833217"/>
    <ds:schemaRef ds:uri="5eca7d32-ecce-483a-8856-2965e8ba61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60B37F-48ED-41E2-AB88-AD590D1144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25</vt:i4>
      </vt:variant>
    </vt:vector>
  </HeadingPairs>
  <TitlesOfParts>
    <vt:vector size="25" baseType="lpstr">
      <vt:lpstr>Start</vt:lpstr>
      <vt:lpstr>Notpaket &gt;</vt:lpstr>
      <vt:lpstr>Nettoomsättning per rörelsegren</vt:lpstr>
      <vt:lpstr>Revisionsarvode</vt:lpstr>
      <vt:lpstr>Skatt</vt:lpstr>
      <vt:lpstr>Lön</vt:lpstr>
      <vt:lpstr>Operationell leasing del 2</vt:lpstr>
      <vt:lpstr>Operationell leasing del 1</vt:lpstr>
      <vt:lpstr>Resultatandel</vt:lpstr>
      <vt:lpstr>FKUI</vt:lpstr>
      <vt:lpstr>UKFI</vt:lpstr>
      <vt:lpstr>Övriga kf fordringar</vt:lpstr>
      <vt:lpstr>Upparbetat men ej fakturerat</vt:lpstr>
      <vt:lpstr>Fastprisuppdrag</vt:lpstr>
      <vt:lpstr>Likvida medel</vt:lpstr>
      <vt:lpstr>Imm. anläggningstillgångar</vt:lpstr>
      <vt:lpstr>Materiella anläggningstillgånga</vt:lpstr>
      <vt:lpstr>Andelar i intressebolag</vt:lpstr>
      <vt:lpstr>Andelar i koncernbolag</vt:lpstr>
      <vt:lpstr>Långfristiga värdepappersinneha</vt:lpstr>
      <vt:lpstr>Kortfristiga placeringar</vt:lpstr>
      <vt:lpstr>Långfristiga fordringar</vt:lpstr>
      <vt:lpstr>Långfristiga skulder</vt:lpstr>
      <vt:lpstr>Skulder till kreditinstut</vt:lpstr>
      <vt:lpstr>Ställda säkerheter och eventual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46730</dc:creator>
  <cp:keywords/>
  <dc:description/>
  <cp:lastModifiedBy>Erica Forsmark</cp:lastModifiedBy>
  <cp:revision/>
  <cp:lastPrinted>2023-02-16T12:32:55Z</cp:lastPrinted>
  <dcterms:created xsi:type="dcterms:W3CDTF">2022-10-21T11:50:44Z</dcterms:created>
  <dcterms:modified xsi:type="dcterms:W3CDTF">2026-07-14T12:14:13Z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0x010100818591329736734FAD117580A3000606</vt:lpwstr>
  </property>
  <property fmtid="{D5CDD505-2E9C-101B-9397-08002B2CF9AE}" pid="3" name="MediaServiceImageTags">
    <vt:lpwstr/>
  </property>
</Properties>
</file>